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DT\nfl\"/>
    </mc:Choice>
  </mc:AlternateContent>
  <xr:revisionPtr revIDLastSave="0" documentId="13_ncr:1_{537AB5EB-C1C0-4B26-B6B7-D554F06CF10B}" xr6:coauthVersionLast="47" xr6:coauthVersionMax="47" xr10:uidLastSave="{00000000-0000-0000-0000-000000000000}"/>
  <bookViews>
    <workbookView xWindow="4245" yWindow="2235" windowWidth="24480" windowHeight="11295" xr2:uid="{C77011C8-79D3-4A8C-A59A-B704AE48665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" i="1" l="1"/>
  <c r="I7" i="1"/>
  <c r="J7" i="1"/>
  <c r="H8" i="1"/>
  <c r="I8" i="1"/>
  <c r="J8" i="1"/>
  <c r="H9" i="1"/>
  <c r="I9" i="1"/>
  <c r="J9" i="1"/>
  <c r="H10" i="1"/>
  <c r="I10" i="1"/>
  <c r="J10" i="1"/>
  <c r="H6" i="1"/>
  <c r="I6" i="1"/>
  <c r="J6" i="1"/>
  <c r="H5" i="1"/>
  <c r="I5" i="1"/>
  <c r="J5" i="1"/>
  <c r="I4" i="1"/>
  <c r="M4" i="1" s="1"/>
  <c r="J4" i="1"/>
  <c r="N4" i="1" s="1"/>
  <c r="H4" i="1"/>
  <c r="L4" i="1" s="1"/>
  <c r="G4" i="1"/>
  <c r="K4" i="1" s="1"/>
  <c r="N5" i="1" l="1"/>
  <c r="N6" i="1" s="1"/>
  <c r="N7" i="1" s="1"/>
  <c r="N8" i="1" s="1"/>
  <c r="N9" i="1" s="1"/>
  <c r="N10" i="1" s="1"/>
  <c r="L5" i="1"/>
  <c r="L6" i="1" s="1"/>
  <c r="L7" i="1" s="1"/>
  <c r="L8" i="1" s="1"/>
  <c r="L9" i="1" s="1"/>
  <c r="L10" i="1" s="1"/>
  <c r="M5" i="1"/>
  <c r="M6" i="1" s="1"/>
  <c r="M7" i="1" s="1"/>
  <c r="M8" i="1" s="1"/>
  <c r="M9" i="1" s="1"/>
  <c r="M10" i="1" s="1"/>
  <c r="G5" i="1"/>
  <c r="G6" i="1" s="1"/>
  <c r="G7" i="1" s="1"/>
  <c r="O4" i="1"/>
  <c r="G8" i="1" l="1"/>
  <c r="G9" i="1" s="1"/>
  <c r="G10" i="1" s="1"/>
  <c r="K5" i="1"/>
  <c r="O5" i="1" l="1"/>
  <c r="K6" i="1"/>
  <c r="K7" i="1" s="1"/>
  <c r="O7" i="1" l="1"/>
  <c r="K8" i="1"/>
  <c r="O6" i="1"/>
  <c r="O8" i="1" l="1"/>
  <c r="K9" i="1"/>
  <c r="K10" i="1" l="1"/>
  <c r="O9" i="1"/>
  <c r="O10" i="1" l="1"/>
</calcChain>
</file>

<file path=xl/sharedStrings.xml><?xml version="1.0" encoding="utf-8"?>
<sst xmlns="http://schemas.openxmlformats.org/spreadsheetml/2006/main" count="22" uniqueCount="16">
  <si>
    <t>Home</t>
  </si>
  <si>
    <t>Quarter</t>
  </si>
  <si>
    <t>Time</t>
  </si>
  <si>
    <t>Tm</t>
  </si>
  <si>
    <t>Detail</t>
  </si>
  <si>
    <t>STL</t>
  </si>
  <si>
    <t>Rams</t>
  </si>
  <si>
    <t>Falcons</t>
  </si>
  <si>
    <t>Jeff Wilkins 28 yard field goal</t>
  </si>
  <si>
    <t>CAR</t>
  </si>
  <si>
    <t>Jeff Wilkins 38 yard field goal</t>
  </si>
  <si>
    <t>Safety,</t>
  </si>
  <si>
    <t>Marc Bulger 3 yard rush (Jeff Wilkins kick)</t>
  </si>
  <si>
    <t>Torry Holt 21 yard pass from Marc Bulger (Jeff Wilkins kick)</t>
  </si>
  <si>
    <t>Torry Holt 14 yard pass from Marc Bulger (Jeff Wilkins kick)</t>
  </si>
  <si>
    <t>Travis Fisher 74 yard interception return (Jeff Wilkins kick)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</si>
</sst>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20" fontId="0" fillId="0" borderId="0" xfId="0" applyNumberFormat="1"/>
    <xf numFmtId="20" fontId="0" fillId="2" borderId="0" xfId="0" applyNumberFormat="1" applyFill="1"/>
    <xf numFmtId="0" fontId="0" fillId="2" borderId="0" xfId="0" quotePrefix="1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D3882-2A87-4C0E-8859-548E3BE7A89F}">
  <dimension ref="A1:O19"/>
  <sheetViews>
    <sheetView tabSelected="1" workbookViewId="0">
      <selection activeCell="O10" sqref="O10"/>
    </sheetView>
  </sheetViews>
  <sheetFormatPr baseColWidth="10" defaultRowHeight="14.25" x14ac:dyDescent="0.2"/>
  <sheetData>
    <row r="1" spans="1:15" x14ac:dyDescent="0.2">
      <c r="A1" s="1">
        <v>2003</v>
      </c>
      <c r="B1" s="1">
        <v>6</v>
      </c>
      <c r="C1" s="4">
        <v>13102003</v>
      </c>
      <c r="D1" s="1" t="s">
        <v>7</v>
      </c>
      <c r="E1" s="1" t="s">
        <v>0</v>
      </c>
    </row>
    <row r="3" spans="1:15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9</v>
      </c>
      <c r="F3" s="1" t="s">
        <v>5</v>
      </c>
    </row>
    <row r="4" spans="1:15" x14ac:dyDescent="0.2">
      <c r="A4" s="1">
        <v>1</v>
      </c>
      <c r="B4" s="3">
        <v>5.347222222222222E-2</v>
      </c>
      <c r="C4" s="1" t="s">
        <v>6</v>
      </c>
      <c r="D4" s="1" t="s">
        <v>8</v>
      </c>
      <c r="E4" s="1">
        <v>0</v>
      </c>
      <c r="F4" s="1">
        <v>3</v>
      </c>
      <c r="G4">
        <f>A4</f>
        <v>1</v>
      </c>
      <c r="H4" t="str">
        <f>HOUR(B4)&amp;"."&amp;MINUTE(B4)</f>
        <v>1.17</v>
      </c>
      <c r="I4" t="str">
        <f>IF(C4="Rams","T","F")</f>
        <v>T</v>
      </c>
      <c r="J4">
        <f>SUM(E4:F4)</f>
        <v>3</v>
      </c>
      <c r="K4">
        <f>G4</f>
        <v>1</v>
      </c>
      <c r="L4" t="str">
        <f>H4</f>
        <v>1.17</v>
      </c>
      <c r="M4" t="str">
        <f>I4</f>
        <v>T</v>
      </c>
      <c r="N4">
        <f t="shared" ref="N4" si="0">J4</f>
        <v>3</v>
      </c>
      <c r="O4" t="str">
        <f>"'"&amp;$A$1&amp;"."&amp;$B$1&amp;"."&amp;$C$1&amp;"."&amp;$E$1&amp;"."&amp;$D$1&amp;"', c("&amp;K4&amp;"), c("&amp;L4&amp;"), c("&amp;M4&amp;"), c("&amp;N4&amp;")"</f>
        <v>'2003.6.13102003.Home.Falcons', c(1), c(1.17), c(T), c(3)</v>
      </c>
    </row>
    <row r="5" spans="1:15" x14ac:dyDescent="0.2">
      <c r="A5" s="1">
        <v>2</v>
      </c>
      <c r="B5" s="3">
        <v>5.6944444444444443E-2</v>
      </c>
      <c r="C5" s="1" t="s">
        <v>6</v>
      </c>
      <c r="D5" s="1" t="s">
        <v>12</v>
      </c>
      <c r="E5" s="1">
        <v>0</v>
      </c>
      <c r="F5" s="1">
        <v>10</v>
      </c>
      <c r="G5">
        <f>IF(A5="",G4,A5)</f>
        <v>2</v>
      </c>
      <c r="H5" t="str">
        <f t="shared" ref="H5:H9" si="1">HOUR(B5)&amp;"."&amp;MINUTE(B5)</f>
        <v>1.22</v>
      </c>
      <c r="I5" t="str">
        <f t="shared" ref="I5:I9" si="2">IF(C5="Rams","T","F")</f>
        <v>T</v>
      </c>
      <c r="J5">
        <f>SUM(E5:F5)-SUM(E4:F4)</f>
        <v>7</v>
      </c>
      <c r="K5" t="str">
        <f>K4&amp;","&amp;G5</f>
        <v>1,2</v>
      </c>
      <c r="L5" t="str">
        <f>L4&amp;","&amp;H5</f>
        <v>1.17,1.22</v>
      </c>
      <c r="M5" t="str">
        <f>M4&amp;","&amp;I5</f>
        <v>T,T</v>
      </c>
      <c r="N5" t="str">
        <f>N4&amp;","&amp;J5</f>
        <v>3,7</v>
      </c>
      <c r="O5" t="str">
        <f t="shared" ref="O5:O9" si="3">"'"&amp;$A$1&amp;"."&amp;$B$1&amp;"."&amp;$C$1&amp;"."&amp;$E$1&amp;"."&amp;$D$1&amp;"', c("&amp;K5&amp;"), c("&amp;L5&amp;"), c("&amp;M5&amp;"), c("&amp;N5&amp;")"</f>
        <v>'2003.6.13102003.Home.Falcons', c(1,2), c(1.17,1.22), c(T,T), c(3,7)</v>
      </c>
    </row>
    <row r="6" spans="1:15" x14ac:dyDescent="0.2">
      <c r="A6">
        <v>3</v>
      </c>
      <c r="B6" s="2">
        <v>0.51111111111111107</v>
      </c>
      <c r="C6" t="s">
        <v>6</v>
      </c>
      <c r="D6" t="s">
        <v>13</v>
      </c>
      <c r="E6">
        <v>0</v>
      </c>
      <c r="F6">
        <v>17</v>
      </c>
      <c r="G6">
        <f t="shared" ref="G6:G10" si="4">IF(A6="",G5,A6)</f>
        <v>3</v>
      </c>
      <c r="H6" t="str">
        <f t="shared" ref="H6:H10" si="5">HOUR(B6)&amp;"."&amp;MINUTE(B6)</f>
        <v>12.16</v>
      </c>
      <c r="I6" t="str">
        <f t="shared" ref="I6:I10" si="6">IF(C6="Rams","T","F")</f>
        <v>T</v>
      </c>
      <c r="J6">
        <f t="shared" ref="J6:J10" si="7">SUM(E6:F6)-SUM(E5:F5)</f>
        <v>7</v>
      </c>
      <c r="K6" t="str">
        <f t="shared" ref="K6:K10" si="8">K5&amp;","&amp;G6</f>
        <v>1,2,3</v>
      </c>
      <c r="L6" t="str">
        <f t="shared" ref="L6:L10" si="9">L5&amp;","&amp;H6</f>
        <v>1.17,1.22,12.16</v>
      </c>
      <c r="M6" t="str">
        <f t="shared" ref="M6:M10" si="10">M5&amp;","&amp;I6</f>
        <v>T,T,T</v>
      </c>
      <c r="N6" t="str">
        <f t="shared" ref="N6:N10" si="11">N5&amp;","&amp;J6</f>
        <v>3,7,7</v>
      </c>
      <c r="O6" t="str">
        <f t="shared" ref="O6:O10" si="12">"'"&amp;$A$1&amp;"."&amp;$B$1&amp;"."&amp;$C$1&amp;"."&amp;$E$1&amp;"."&amp;$D$1&amp;"', c("&amp;K6&amp;"), c("&amp;L6&amp;"), c("&amp;M6&amp;"), c("&amp;N6&amp;")"</f>
        <v>'2003.6.13102003.Home.Falcons', c(1,2,3), c(1.17,1.22,12.16), c(T,T,T), c(3,7,7)</v>
      </c>
    </row>
    <row r="7" spans="1:15" x14ac:dyDescent="0.2">
      <c r="B7" s="2">
        <v>9.375E-2</v>
      </c>
      <c r="C7" t="s">
        <v>6</v>
      </c>
      <c r="D7" t="s">
        <v>11</v>
      </c>
      <c r="E7">
        <v>0</v>
      </c>
      <c r="F7">
        <v>19</v>
      </c>
      <c r="G7">
        <f t="shared" ref="G7:G12" si="13">IF(A7="",G6,A7)</f>
        <v>3</v>
      </c>
      <c r="H7" t="str">
        <f t="shared" ref="H7:H12" si="14">HOUR(B7)&amp;"."&amp;MINUTE(B7)</f>
        <v>2.15</v>
      </c>
      <c r="I7" t="str">
        <f t="shared" ref="I7:I12" si="15">IF(C7="Rams","T","F")</f>
        <v>T</v>
      </c>
      <c r="J7">
        <f t="shared" ref="J7:J12" si="16">SUM(E7:F7)-SUM(E6:F6)</f>
        <v>2</v>
      </c>
      <c r="K7" t="str">
        <f t="shared" ref="K7:K12" si="17">K6&amp;","&amp;G7</f>
        <v>1,2,3,3</v>
      </c>
      <c r="L7" t="str">
        <f t="shared" ref="L7:L12" si="18">L6&amp;","&amp;H7</f>
        <v>1.17,1.22,12.16,2.15</v>
      </c>
      <c r="M7" t="str">
        <f t="shared" ref="M7:M12" si="19">M6&amp;","&amp;I7</f>
        <v>T,T,T,T</v>
      </c>
      <c r="N7" t="str">
        <f t="shared" ref="N7:N12" si="20">N6&amp;","&amp;J7</f>
        <v>3,7,7,2</v>
      </c>
      <c r="O7" t="str">
        <f t="shared" ref="O7:O12" si="21">"'"&amp;$A$1&amp;"."&amp;$B$1&amp;"."&amp;$C$1&amp;"."&amp;$E$1&amp;"."&amp;$D$1&amp;"', c("&amp;K7&amp;"), c("&amp;L7&amp;"), c("&amp;M7&amp;"), c("&amp;N7&amp;")"</f>
        <v>'2003.6.13102003.Home.Falcons', c(1,2,3,3), c(1.17,1.22,12.16,2.15), c(T,T,T,T), c(3,7,7,2)</v>
      </c>
    </row>
    <row r="8" spans="1:15" x14ac:dyDescent="0.2">
      <c r="A8">
        <v>4</v>
      </c>
      <c r="B8" s="2">
        <v>0.44722222222222224</v>
      </c>
      <c r="C8" t="s">
        <v>6</v>
      </c>
      <c r="D8" t="s">
        <v>14</v>
      </c>
      <c r="E8">
        <v>0</v>
      </c>
      <c r="F8">
        <v>26</v>
      </c>
      <c r="G8">
        <f t="shared" si="13"/>
        <v>4</v>
      </c>
      <c r="H8" t="str">
        <f t="shared" si="14"/>
        <v>10.44</v>
      </c>
      <c r="I8" t="str">
        <f t="shared" si="15"/>
        <v>T</v>
      </c>
      <c r="J8">
        <f t="shared" si="16"/>
        <v>7</v>
      </c>
      <c r="K8" t="str">
        <f t="shared" si="17"/>
        <v>1,2,3,3,4</v>
      </c>
      <c r="L8" t="str">
        <f t="shared" si="18"/>
        <v>1.17,1.22,12.16,2.15,10.44</v>
      </c>
      <c r="M8" t="str">
        <f t="shared" si="19"/>
        <v>T,T,T,T,T</v>
      </c>
      <c r="N8" t="str">
        <f t="shared" si="20"/>
        <v>3,7,7,2,7</v>
      </c>
      <c r="O8" t="str">
        <f t="shared" si="21"/>
        <v>'2003.6.13102003.Home.Falcons', c(1,2,3,3,4), c(1.17,1.22,12.16,2.15,10.44), c(T,T,T,T,T), c(3,7,7,2,7)</v>
      </c>
    </row>
    <row r="9" spans="1:15" x14ac:dyDescent="0.2">
      <c r="B9" s="2">
        <v>0.15625</v>
      </c>
      <c r="C9" t="s">
        <v>6</v>
      </c>
      <c r="D9" t="s">
        <v>10</v>
      </c>
      <c r="E9">
        <v>0</v>
      </c>
      <c r="F9">
        <v>29</v>
      </c>
      <c r="G9">
        <f t="shared" si="13"/>
        <v>4</v>
      </c>
      <c r="H9" t="str">
        <f t="shared" si="14"/>
        <v>3.45</v>
      </c>
      <c r="I9" t="str">
        <f t="shared" si="15"/>
        <v>T</v>
      </c>
      <c r="J9">
        <f t="shared" si="16"/>
        <v>3</v>
      </c>
      <c r="K9" t="str">
        <f t="shared" si="17"/>
        <v>1,2,3,3,4,4</v>
      </c>
      <c r="L9" t="str">
        <f t="shared" si="18"/>
        <v>1.17,1.22,12.16,2.15,10.44,3.45</v>
      </c>
      <c r="M9" t="str">
        <f t="shared" si="19"/>
        <v>T,T,T,T,T,T</v>
      </c>
      <c r="N9" t="str">
        <f t="shared" si="20"/>
        <v>3,7,7,2,7,3</v>
      </c>
      <c r="O9" t="str">
        <f t="shared" si="21"/>
        <v>'2003.6.13102003.Home.Falcons', c(1,2,3,3,4,4), c(1.17,1.22,12.16,2.15,10.44,3.45), c(T,T,T,T,T,T), c(3,7,7,2,7,3)</v>
      </c>
    </row>
    <row r="10" spans="1:15" x14ac:dyDescent="0.2">
      <c r="B10" s="2">
        <v>6.458333333333334E-2</v>
      </c>
      <c r="C10" t="s">
        <v>6</v>
      </c>
      <c r="D10" t="s">
        <v>15</v>
      </c>
      <c r="E10">
        <v>0</v>
      </c>
      <c r="F10">
        <v>36</v>
      </c>
      <c r="G10">
        <f t="shared" si="13"/>
        <v>4</v>
      </c>
      <c r="H10" t="str">
        <f t="shared" si="14"/>
        <v>1.33</v>
      </c>
      <c r="I10" t="str">
        <f t="shared" si="15"/>
        <v>T</v>
      </c>
      <c r="J10">
        <f t="shared" si="16"/>
        <v>7</v>
      </c>
      <c r="K10" t="str">
        <f t="shared" si="17"/>
        <v>1,2,3,3,4,4,4</v>
      </c>
      <c r="L10" t="str">
        <f t="shared" si="18"/>
        <v>1.17,1.22,12.16,2.15,10.44,3.45,1.33</v>
      </c>
      <c r="M10" t="str">
        <f t="shared" si="19"/>
        <v>T,T,T,T,T,T,T</v>
      </c>
      <c r="N10" t="str">
        <f t="shared" si="20"/>
        <v>3,7,7,2,7,3,7</v>
      </c>
      <c r="O10" t="str">
        <f t="shared" si="21"/>
        <v>'2003.6.13102003.Home.Falcons', c(1,2,3,3,4,4,4), c(1.17,1.22,12.16,2.15,10.44,3.45,1.33), c(T,T,T,T,T,T,T), c(3,7,7,2,7,3,7)</v>
      </c>
    </row>
    <row r="11" spans="1:15" x14ac:dyDescent="0.2">
      <c r="B11" s="2"/>
    </row>
    <row r="12" spans="1:15" x14ac:dyDescent="0.2">
      <c r="B12" s="2"/>
    </row>
    <row r="13" spans="1:15" x14ac:dyDescent="0.2">
      <c r="B13" s="2"/>
    </row>
    <row r="14" spans="1:15" x14ac:dyDescent="0.2">
      <c r="B14" s="2"/>
    </row>
    <row r="15" spans="1:15" x14ac:dyDescent="0.2">
      <c r="B15" s="2"/>
    </row>
    <row r="16" spans="1:15" x14ac:dyDescent="0.2">
      <c r="B16" s="2"/>
    </row>
    <row r="17" spans="2:2" x14ac:dyDescent="0.2">
      <c r="B17" s="2"/>
    </row>
    <row r="18" spans="2:2" x14ac:dyDescent="0.2">
      <c r="B18" s="2"/>
    </row>
    <row r="19" spans="2:2" x14ac:dyDescent="0.2">
      <c r="B19" s="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Burkhardt Thomas</dc:creator>
  <cp:lastModifiedBy>Burkhardt Thomas</cp:lastModifiedBy>
  <dcterms:created xsi:type="dcterms:W3CDTF">2026-09-24T06:40:34Z</dcterms:created>
  <dcterms:modified xsi:type="dcterms:W3CDTF">2026-09-24T10:19:57Z</dcterms:modified>
</cp:coreProperties>
</file>