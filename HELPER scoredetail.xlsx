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T\nfl\"/>
    </mc:Choice>
  </mc:AlternateContent>
  <xr:revisionPtr revIDLastSave="0" documentId="13_ncr:1_{9FD4DEF2-F481-4468-99FD-02C800722827}" xr6:coauthVersionLast="47" xr6:coauthVersionMax="47" xr10:uidLastSave="{00000000-0000-0000-0000-000000000000}"/>
  <bookViews>
    <workbookView xWindow="-120" yWindow="-120" windowWidth="29040" windowHeight="15720" xr2:uid="{C77011C8-79D3-4A8C-A59A-B704AE48665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1" l="1"/>
  <c r="I18" i="1"/>
  <c r="J18" i="1"/>
  <c r="H19" i="1"/>
  <c r="I19" i="1"/>
  <c r="J19" i="1"/>
  <c r="H20" i="1"/>
  <c r="I20" i="1"/>
  <c r="J20" i="1"/>
  <c r="H16" i="1"/>
  <c r="I16" i="1"/>
  <c r="J16" i="1"/>
  <c r="H17" i="1"/>
  <c r="I17" i="1"/>
  <c r="J17" i="1"/>
  <c r="H15" i="1"/>
  <c r="I15" i="1"/>
  <c r="J15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G1" i="1"/>
  <c r="H1" i="1" s="1"/>
  <c r="H7" i="1"/>
  <c r="I7" i="1"/>
  <c r="J7" i="1"/>
  <c r="H8" i="1"/>
  <c r="I8" i="1"/>
  <c r="J8" i="1"/>
  <c r="H6" i="1"/>
  <c r="I6" i="1"/>
  <c r="J6" i="1"/>
  <c r="H5" i="1"/>
  <c r="I5" i="1"/>
  <c r="J5" i="1"/>
  <c r="I4" i="1"/>
  <c r="M4" i="1" s="1"/>
  <c r="J4" i="1"/>
  <c r="N4" i="1" s="1"/>
  <c r="H4" i="1"/>
  <c r="L4" i="1" s="1"/>
  <c r="G4" i="1"/>
  <c r="K4" i="1" s="1"/>
  <c r="O4" i="1" l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G5" i="1"/>
  <c r="G6" i="1" s="1"/>
  <c r="G7" i="1" s="1"/>
  <c r="G8" i="1" l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K5" i="1"/>
  <c r="O5" i="1" s="1"/>
  <c r="G19" i="1" l="1"/>
  <c r="G20" i="1" s="1"/>
  <c r="K6" i="1"/>
  <c r="O6" i="1" s="1"/>
  <c r="K7" i="1" l="1"/>
  <c r="O7" i="1" s="1"/>
  <c r="K8" i="1" l="1"/>
  <c r="K9" i="1" l="1"/>
  <c r="O8" i="1"/>
  <c r="K10" i="1" l="1"/>
  <c r="O9" i="1"/>
  <c r="O10" i="1" l="1"/>
  <c r="K11" i="1"/>
  <c r="O11" i="1" l="1"/>
  <c r="K12" i="1"/>
  <c r="O12" i="1" l="1"/>
  <c r="K13" i="1"/>
  <c r="O13" i="1" s="1"/>
  <c r="K14" i="1" l="1"/>
  <c r="O14" i="1" l="1"/>
  <c r="K15" i="1"/>
  <c r="O15" i="1" l="1"/>
  <c r="K16" i="1"/>
  <c r="O16" i="1" l="1"/>
  <c r="K17" i="1"/>
  <c r="O17" i="1" l="1"/>
  <c r="K18" i="1"/>
  <c r="O18" i="1" l="1"/>
  <c r="K19" i="1"/>
  <c r="O19" i="1" l="1"/>
  <c r="K20" i="1"/>
  <c r="O20" i="1" s="1"/>
</calcChain>
</file>

<file path=xl/sharedStrings.xml><?xml version="1.0" encoding="utf-8"?>
<sst xmlns="http://schemas.openxmlformats.org/spreadsheetml/2006/main" count="45" uniqueCount="33">
  <si>
    <t>Quarter</t>
  </si>
  <si>
    <t>Time</t>
  </si>
  <si>
    <t>Tm</t>
  </si>
  <si>
    <t>Detail</t>
  </si>
  <si>
    <t>STL</t>
  </si>
  <si>
    <t>Rams</t>
  </si>
  <si>
    <t>CAR</t>
  </si>
  <si>
    <t>Gerald Everett 40 yard pass from Jared Goff (Greg Zuerlein kick)</t>
  </si>
  <si>
    <t>Away</t>
  </si>
  <si>
    <t>Buccaneers</t>
  </si>
  <si>
    <t>Matt Gay 21 yard field goal</t>
  </si>
  <si>
    <t>Ndamukong Suh 37 yard fumble return (Matt Gay kick)</t>
  </si>
  <si>
    <t>Seahawks</t>
  </si>
  <si>
    <t>Ravens</t>
  </si>
  <si>
    <t>Lions</t>
  </si>
  <si>
    <t>Broncos</t>
  </si>
  <si>
    <t>Tylan Wallace 76 yard punt return</t>
  </si>
  <si>
    <t>Harrison Mevis 40 yard field goal</t>
  </si>
  <si>
    <t>David Montgomery 1 yard rush (Jake Bates kick)</t>
  </si>
  <si>
    <t>Jaxon Smith-Njigba 4 yard pass from Sam Darnold (Eric Saubert pass from Sam Darnold)</t>
  </si>
  <si>
    <t>Harrison Mevis 35 yard field goal</t>
  </si>
  <si>
    <t>Colby Parkinson 19 yard pass from Matthew Stafford (Harrison Mevis kick)</t>
  </si>
  <si>
    <t>'2026.1.10092026.Home.49ers', c(1,2,2,3,4,4), c(6.15,14.57,4.28,11.3,12.57,9.43), c(F,T,F,F,F,F), c(3,7,7,7,7,3),</t>
  </si>
  <si>
    <t>'2026.2.21092026.Home.Giants', c(1,2,2,3,3,4), c(0.11,11.7,0.25,6.21,3.49,8.57), c(T,T,F,T,F,T), c(7,7,3,7,3,7),</t>
  </si>
  <si>
    <t>Tyler Higbee 5 yard pass from Matthew Stafford (Harrison Mevis kick)</t>
  </si>
  <si>
    <t>Harrison Mevis 36 yard field goal</t>
  </si>
  <si>
    <t>Pat Bryant 5 yard pass from Bo Nix (Jaylen Waddle pass from Bo Nix)</t>
  </si>
  <si>
    <t>Nate Adkins 8 yard pass from Bo Nix (Pat Bryant pass from Bo Nix)</t>
  </si>
  <si>
    <t>Harrison Mevis 48 yard field goal</t>
  </si>
  <si>
    <t>Talanoa Hufanga 66 yard interception return (Wil Lutz kick)</t>
  </si>
  <si>
    <t>Konata Mumpfield 48 yard pass from Matthew Stafford (Harrison Mevis kick)</t>
  </si>
  <si>
    <t>Bo Nix 1 yard rush (Wil Lutz kick)</t>
  </si>
  <si>
    <t>'2026.3.27092026.Away.Broncos', c(1,2,2,2,3,3,4,4,4,4), c(4.55,13.17,4.43,0.0,7.44,2.15,8.40,4.49,3.38,0.47), c(T,T,T,T,F,F,T,F,T,F), c(7,3,3,3,8,8,3,7,7,7),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</si>
</sst>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0" fontId="0" fillId="0" borderId="0" xfId="0" applyNumberFormat="1"/>
    <xf numFmtId="20" fontId="0" fillId="2" borderId="0" xfId="0" applyNumberFormat="1" applyFill="1"/>
    <xf numFmtId="0" fontId="0" fillId="0" borderId="0" xfId="0" quotePrefix="1"/>
    <xf numFmtId="0" fontId="0" fillId="3" borderId="0" xfId="0" quotePrefix="1" applyFill="1"/>
    <xf numFmtId="49" fontId="0" fillId="3" borderId="0" xfId="0" quotePrefix="1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3882-2A87-4C0E-8859-548E3BE7A89F}">
  <dimension ref="A1:O38"/>
  <sheetViews>
    <sheetView tabSelected="1" workbookViewId="0"/>
  </sheetViews>
  <sheetFormatPr baseColWidth="10" defaultRowHeight="14.25" x14ac:dyDescent="0.2"/>
  <sheetData>
    <row r="1" spans="1:15" x14ac:dyDescent="0.2">
      <c r="A1" s="1">
        <v>2026</v>
      </c>
      <c r="B1" s="1">
        <v>3</v>
      </c>
      <c r="C1" s="1">
        <v>27</v>
      </c>
      <c r="D1" s="1">
        <v>9</v>
      </c>
      <c r="E1" s="1" t="s">
        <v>15</v>
      </c>
      <c r="F1" s="1" t="s">
        <v>8</v>
      </c>
      <c r="G1" s="4">
        <f>IF(D1&gt;8,A1,A1+1)</f>
        <v>2026</v>
      </c>
      <c r="H1" t="str">
        <f>IF(C1&lt;10,"0"&amp;C1,C1)&amp;IF(D1&lt;10,"0"&amp;D1,D1)&amp;G1</f>
        <v>27092026</v>
      </c>
    </row>
    <row r="3" spans="1:1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4</v>
      </c>
    </row>
    <row r="4" spans="1:15" x14ac:dyDescent="0.2">
      <c r="A4" s="1">
        <v>1</v>
      </c>
      <c r="B4" s="3">
        <v>0.2048611111111111</v>
      </c>
      <c r="C4" s="1" t="s">
        <v>5</v>
      </c>
      <c r="D4" s="1" t="s">
        <v>24</v>
      </c>
      <c r="E4" s="1">
        <v>7</v>
      </c>
      <c r="F4" s="1">
        <v>0</v>
      </c>
      <c r="G4">
        <f>A4</f>
        <v>1</v>
      </c>
      <c r="H4" t="str">
        <f>HOUR(B4)&amp;"."&amp;MINUTE(B4)</f>
        <v>4.55</v>
      </c>
      <c r="I4" t="str">
        <f>IF(C4="Rams","T","F")</f>
        <v>T</v>
      </c>
      <c r="J4">
        <f>SUM(E4:F4)</f>
        <v>7</v>
      </c>
      <c r="K4">
        <f>G4</f>
        <v>1</v>
      </c>
      <c r="L4" t="str">
        <f>H4</f>
        <v>4.55</v>
      </c>
      <c r="M4" t="str">
        <f>I4</f>
        <v>T</v>
      </c>
      <c r="N4">
        <f t="shared" ref="N4" si="0">J4</f>
        <v>7</v>
      </c>
      <c r="O4" t="str">
        <f>"'"&amp;$A$1&amp;"."&amp;$B$1&amp;"."&amp;$H$1&amp;"."&amp;$F$1&amp;"."&amp;$E$1&amp;"', c("&amp;K4&amp;"), c("&amp;L4&amp;"), c("&amp;M4&amp;"), c("&amp;N4&amp;"),"</f>
        <v>'2026.3.27092026.Away.Broncos', c(1), c(4.55), c(T), c(7),</v>
      </c>
    </row>
    <row r="5" spans="1:15" x14ac:dyDescent="0.2">
      <c r="A5" s="1">
        <v>2</v>
      </c>
      <c r="B5" s="3">
        <v>0.55347222222222225</v>
      </c>
      <c r="C5" s="1" t="s">
        <v>5</v>
      </c>
      <c r="D5" s="1" t="s">
        <v>25</v>
      </c>
      <c r="E5" s="1">
        <v>10</v>
      </c>
      <c r="F5" s="1">
        <v>0</v>
      </c>
      <c r="G5">
        <f>IF(A5="",G4,A5)</f>
        <v>2</v>
      </c>
      <c r="H5" t="str">
        <f t="shared" ref="H5" si="1">HOUR(B5)&amp;"."&amp;MINUTE(B5)</f>
        <v>13.17</v>
      </c>
      <c r="I5" t="str">
        <f t="shared" ref="I5" si="2">IF(C5="Rams","T","F")</f>
        <v>T</v>
      </c>
      <c r="J5">
        <f>SUM(E5:F5)-SUM(E4:F4)</f>
        <v>3</v>
      </c>
      <c r="K5" t="str">
        <f>K4&amp;","&amp;G5</f>
        <v>1,2</v>
      </c>
      <c r="L5" t="str">
        <f>L4&amp;","&amp;H5</f>
        <v>4.55,13.17</v>
      </c>
      <c r="M5" t="str">
        <f>M4&amp;","&amp;I5</f>
        <v>T,T</v>
      </c>
      <c r="N5" t="str">
        <f>N4&amp;","&amp;J5</f>
        <v>7,3</v>
      </c>
      <c r="O5" t="str">
        <f t="shared" ref="O5:O14" si="3">"'"&amp;$A$1&amp;"."&amp;$B$1&amp;"."&amp;$H$1&amp;"."&amp;$F$1&amp;"."&amp;$E$1&amp;"', c("&amp;K5&amp;"), c("&amp;L5&amp;"), c("&amp;M5&amp;"), c("&amp;N5&amp;"),"</f>
        <v>'2026.3.27092026.Away.Broncos', c(1,2), c(4.55,13.17), c(T,T), c(7,3),</v>
      </c>
    </row>
    <row r="6" spans="1:15" x14ac:dyDescent="0.2">
      <c r="B6" s="2">
        <v>0.19652777777777777</v>
      </c>
      <c r="C6" t="s">
        <v>5</v>
      </c>
      <c r="D6" t="s">
        <v>20</v>
      </c>
      <c r="E6">
        <v>13</v>
      </c>
      <c r="F6">
        <v>0</v>
      </c>
      <c r="G6">
        <f t="shared" ref="G6" si="4">IF(A6="",G5,A6)</f>
        <v>2</v>
      </c>
      <c r="H6" t="str">
        <f t="shared" ref="H6" si="5">HOUR(B6)&amp;"."&amp;MINUTE(B6)</f>
        <v>4.43</v>
      </c>
      <c r="I6" t="str">
        <f t="shared" ref="I6" si="6">IF(C6="Rams","T","F")</f>
        <v>T</v>
      </c>
      <c r="J6">
        <f t="shared" ref="J6" si="7">SUM(E6:F6)-SUM(E5:F5)</f>
        <v>3</v>
      </c>
      <c r="K6" t="str">
        <f t="shared" ref="K6" si="8">K5&amp;","&amp;G6</f>
        <v>1,2,2</v>
      </c>
      <c r="L6" t="str">
        <f t="shared" ref="L6" si="9">L5&amp;","&amp;H6</f>
        <v>4.55,13.17,4.43</v>
      </c>
      <c r="M6" t="str">
        <f t="shared" ref="M6" si="10">M5&amp;","&amp;I6</f>
        <v>T,T,T</v>
      </c>
      <c r="N6" t="str">
        <f t="shared" ref="N6" si="11">N5&amp;","&amp;J6</f>
        <v>7,3,3</v>
      </c>
      <c r="O6" t="str">
        <f t="shared" si="3"/>
        <v>'2026.3.27092026.Away.Broncos', c(1,2,2), c(4.55,13.17,4.43), c(T,T,T), c(7,3,3),</v>
      </c>
    </row>
    <row r="7" spans="1:15" x14ac:dyDescent="0.2">
      <c r="B7" s="2">
        <v>0</v>
      </c>
      <c r="C7" t="s">
        <v>5</v>
      </c>
      <c r="D7" t="s">
        <v>17</v>
      </c>
      <c r="E7">
        <v>16</v>
      </c>
      <c r="F7">
        <v>0</v>
      </c>
      <c r="G7">
        <f t="shared" ref="G7" si="12">IF(A7="",G6,A7)</f>
        <v>2</v>
      </c>
      <c r="H7" t="str">
        <f t="shared" ref="H7" si="13">HOUR(B7)&amp;"."&amp;MINUTE(B7)</f>
        <v>0.0</v>
      </c>
      <c r="I7" t="str">
        <f t="shared" ref="I7" si="14">IF(C7="Rams","T","F")</f>
        <v>T</v>
      </c>
      <c r="J7">
        <f t="shared" ref="J7" si="15">SUM(E7:F7)-SUM(E6:F6)</f>
        <v>3</v>
      </c>
      <c r="K7" t="str">
        <f t="shared" ref="K7" si="16">K6&amp;","&amp;G7</f>
        <v>1,2,2,2</v>
      </c>
      <c r="L7" t="str">
        <f t="shared" ref="L7" si="17">L6&amp;","&amp;H7</f>
        <v>4.55,13.17,4.43,0.0</v>
      </c>
      <c r="M7" t="str">
        <f t="shared" ref="M7" si="18">M6&amp;","&amp;I7</f>
        <v>T,T,T,T</v>
      </c>
      <c r="N7" t="str">
        <f t="shared" ref="N7" si="19">N6&amp;","&amp;J7</f>
        <v>7,3,3,3</v>
      </c>
      <c r="O7" t="str">
        <f t="shared" si="3"/>
        <v>'2026.3.27092026.Away.Broncos', c(1,2,2,2), c(4.55,13.17,4.43,0.0), c(T,T,T,T), c(7,3,3,3),</v>
      </c>
    </row>
    <row r="8" spans="1:15" x14ac:dyDescent="0.2">
      <c r="A8">
        <v>3</v>
      </c>
      <c r="B8" s="2">
        <v>0.32222222222222224</v>
      </c>
      <c r="C8" t="s">
        <v>15</v>
      </c>
      <c r="D8" t="s">
        <v>26</v>
      </c>
      <c r="E8">
        <v>16</v>
      </c>
      <c r="F8">
        <v>8</v>
      </c>
      <c r="G8">
        <f>IF(A8="",G7,A8)</f>
        <v>3</v>
      </c>
      <c r="H8" t="str">
        <f>HOUR(B8)&amp;"."&amp;MINUTE(B8)</f>
        <v>7.44</v>
      </c>
      <c r="I8" t="str">
        <f>IF(C8="Rams","T","F")</f>
        <v>F</v>
      </c>
      <c r="J8">
        <f>SUM(E8:F8)-SUM(E7:F7)</f>
        <v>8</v>
      </c>
      <c r="K8" t="str">
        <f>K7&amp;","&amp;G8</f>
        <v>1,2,2,2,3</v>
      </c>
      <c r="L8" t="str">
        <f>L7&amp;","&amp;H8</f>
        <v>4.55,13.17,4.43,0.0,7.44</v>
      </c>
      <c r="M8" t="str">
        <f>M7&amp;","&amp;I8</f>
        <v>T,T,T,T,F</v>
      </c>
      <c r="N8" t="str">
        <f>N7&amp;","&amp;J8</f>
        <v>7,3,3,3,8</v>
      </c>
      <c r="O8" t="str">
        <f t="shared" si="3"/>
        <v>'2026.3.27092026.Away.Broncos', c(1,2,2,2,3), c(4.55,13.17,4.43,0.0,7.44), c(T,T,T,T,F), c(7,3,3,3,8),</v>
      </c>
    </row>
    <row r="9" spans="1:15" x14ac:dyDescent="0.2">
      <c r="B9" s="2">
        <v>9.375E-2</v>
      </c>
      <c r="C9" t="s">
        <v>15</v>
      </c>
      <c r="D9" t="s">
        <v>27</v>
      </c>
      <c r="E9">
        <v>16</v>
      </c>
      <c r="F9">
        <v>16</v>
      </c>
      <c r="G9">
        <f t="shared" ref="G9:G14" si="20">IF(A9="",G8,A9)</f>
        <v>3</v>
      </c>
      <c r="H9" t="str">
        <f t="shared" ref="H9:H14" si="21">HOUR(B9)&amp;"."&amp;MINUTE(B9)</f>
        <v>2.15</v>
      </c>
      <c r="I9" t="str">
        <f t="shared" ref="I9:I14" si="22">IF(C9="Rams","T","F")</f>
        <v>F</v>
      </c>
      <c r="J9">
        <f t="shared" ref="J9:J14" si="23">SUM(E9:F9)-SUM(E8:F8)</f>
        <v>8</v>
      </c>
      <c r="K9" t="str">
        <f t="shared" ref="K9:K14" si="24">K8&amp;","&amp;G9</f>
        <v>1,2,2,2,3,3</v>
      </c>
      <c r="L9" t="str">
        <f t="shared" ref="L9:L14" si="25">L8&amp;","&amp;H9</f>
        <v>4.55,13.17,4.43,0.0,7.44,2.15</v>
      </c>
      <c r="M9" t="str">
        <f t="shared" ref="M9:M14" si="26">M8&amp;","&amp;I9</f>
        <v>T,T,T,T,F,F</v>
      </c>
      <c r="N9" t="str">
        <f t="shared" ref="N9:N14" si="27">N8&amp;","&amp;J9</f>
        <v>7,3,3,3,8,8</v>
      </c>
      <c r="O9" t="str">
        <f t="shared" si="3"/>
        <v>'2026.3.27092026.Away.Broncos', c(1,2,2,2,3,3), c(4.55,13.17,4.43,0.0,7.44,2.15), c(T,T,T,T,F,F), c(7,3,3,3,8,8),</v>
      </c>
    </row>
    <row r="10" spans="1:15" x14ac:dyDescent="0.2">
      <c r="A10">
        <v>4</v>
      </c>
      <c r="B10" s="2">
        <v>0.3611111111111111</v>
      </c>
      <c r="C10" t="s">
        <v>5</v>
      </c>
      <c r="D10" t="s">
        <v>28</v>
      </c>
      <c r="E10">
        <v>19</v>
      </c>
      <c r="F10">
        <v>16</v>
      </c>
      <c r="G10">
        <f t="shared" si="20"/>
        <v>4</v>
      </c>
      <c r="H10" t="str">
        <f t="shared" si="21"/>
        <v>8.40</v>
      </c>
      <c r="I10" t="str">
        <f t="shared" si="22"/>
        <v>T</v>
      </c>
      <c r="J10">
        <f t="shared" si="23"/>
        <v>3</v>
      </c>
      <c r="K10" t="str">
        <f t="shared" si="24"/>
        <v>1,2,2,2,3,3,4</v>
      </c>
      <c r="L10" t="str">
        <f t="shared" si="25"/>
        <v>4.55,13.17,4.43,0.0,7.44,2.15,8.40</v>
      </c>
      <c r="M10" t="str">
        <f t="shared" si="26"/>
        <v>T,T,T,T,F,F,T</v>
      </c>
      <c r="N10" t="str">
        <f t="shared" si="27"/>
        <v>7,3,3,3,8,8,3</v>
      </c>
      <c r="O10" t="str">
        <f t="shared" si="3"/>
        <v>'2026.3.27092026.Away.Broncos', c(1,2,2,2,3,3,4), c(4.55,13.17,4.43,0.0,7.44,2.15,8.40), c(T,T,T,T,F,F,T), c(7,3,3,3,8,8,3),</v>
      </c>
    </row>
    <row r="11" spans="1:15" x14ac:dyDescent="0.2">
      <c r="B11" s="2">
        <v>0.20069444444444445</v>
      </c>
      <c r="C11" t="s">
        <v>15</v>
      </c>
      <c r="D11" t="s">
        <v>29</v>
      </c>
      <c r="E11">
        <v>19</v>
      </c>
      <c r="F11">
        <v>23</v>
      </c>
      <c r="G11">
        <f t="shared" si="20"/>
        <v>4</v>
      </c>
      <c r="H11" t="str">
        <f t="shared" si="21"/>
        <v>4.49</v>
      </c>
      <c r="I11" t="str">
        <f t="shared" si="22"/>
        <v>F</v>
      </c>
      <c r="J11">
        <f t="shared" si="23"/>
        <v>7</v>
      </c>
      <c r="K11" t="str">
        <f t="shared" si="24"/>
        <v>1,2,2,2,3,3,4,4</v>
      </c>
      <c r="L11" t="str">
        <f t="shared" si="25"/>
        <v>4.55,13.17,4.43,0.0,7.44,2.15,8.40,4.49</v>
      </c>
      <c r="M11" t="str">
        <f t="shared" si="26"/>
        <v>T,T,T,T,F,F,T,F</v>
      </c>
      <c r="N11" t="str">
        <f t="shared" si="27"/>
        <v>7,3,3,3,8,8,3,7</v>
      </c>
      <c r="O11" t="str">
        <f t="shared" si="3"/>
        <v>'2026.3.27092026.Away.Broncos', c(1,2,2,2,3,3,4,4), c(4.55,13.17,4.43,0.0,7.44,2.15,8.40,4.49), c(T,T,T,T,F,F,T,F), c(7,3,3,3,8,8,3,7),</v>
      </c>
    </row>
    <row r="12" spans="1:15" x14ac:dyDescent="0.2">
      <c r="B12" s="2">
        <v>0.15138888888888888</v>
      </c>
      <c r="C12" t="s">
        <v>5</v>
      </c>
      <c r="D12" t="s">
        <v>30</v>
      </c>
      <c r="E12">
        <v>26</v>
      </c>
      <c r="F12">
        <v>23</v>
      </c>
      <c r="G12">
        <f t="shared" si="20"/>
        <v>4</v>
      </c>
      <c r="H12" t="str">
        <f t="shared" si="21"/>
        <v>3.38</v>
      </c>
      <c r="I12" t="str">
        <f t="shared" si="22"/>
        <v>T</v>
      </c>
      <c r="J12">
        <f t="shared" si="23"/>
        <v>7</v>
      </c>
      <c r="K12" t="str">
        <f t="shared" si="24"/>
        <v>1,2,2,2,3,3,4,4,4</v>
      </c>
      <c r="L12" t="str">
        <f t="shared" si="25"/>
        <v>4.55,13.17,4.43,0.0,7.44,2.15,8.40,4.49,3.38</v>
      </c>
      <c r="M12" t="str">
        <f t="shared" si="26"/>
        <v>T,T,T,T,F,F,T,F,T</v>
      </c>
      <c r="N12" t="str">
        <f t="shared" si="27"/>
        <v>7,3,3,3,8,8,3,7,7</v>
      </c>
      <c r="O12" t="str">
        <f t="shared" si="3"/>
        <v>'2026.3.27092026.Away.Broncos', c(1,2,2,2,3,3,4,4,4), c(4.55,13.17,4.43,0.0,7.44,2.15,8.40,4.49,3.38), c(T,T,T,T,F,F,T,F,T), c(7,3,3,3,8,8,3,7,7),</v>
      </c>
    </row>
    <row r="13" spans="1:15" x14ac:dyDescent="0.2">
      <c r="B13" s="2">
        <v>3.2638888888888891E-2</v>
      </c>
      <c r="C13" t="s">
        <v>15</v>
      </c>
      <c r="D13" t="s">
        <v>31</v>
      </c>
      <c r="E13">
        <v>26</v>
      </c>
      <c r="F13">
        <v>30</v>
      </c>
      <c r="G13">
        <f t="shared" si="20"/>
        <v>4</v>
      </c>
      <c r="H13" t="str">
        <f t="shared" si="21"/>
        <v>0.47</v>
      </c>
      <c r="I13" t="str">
        <f t="shared" si="22"/>
        <v>F</v>
      </c>
      <c r="J13">
        <f t="shared" si="23"/>
        <v>7</v>
      </c>
      <c r="K13" t="str">
        <f t="shared" si="24"/>
        <v>1,2,2,2,3,3,4,4,4,4</v>
      </c>
      <c r="L13" t="str">
        <f t="shared" si="25"/>
        <v>4.55,13.17,4.43,0.0,7.44,2.15,8.40,4.49,3.38,0.47</v>
      </c>
      <c r="M13" t="str">
        <f t="shared" si="26"/>
        <v>T,T,T,T,F,F,T,F,T,F</v>
      </c>
      <c r="N13" t="str">
        <f t="shared" si="27"/>
        <v>7,3,3,3,8,8,3,7,7,7</v>
      </c>
      <c r="O13" t="str">
        <f t="shared" si="3"/>
        <v>'2026.3.27092026.Away.Broncos', c(1,2,2,2,3,3,4,4,4,4), c(4.55,13.17,4.43,0.0,7.44,2.15,8.40,4.49,3.38,0.47), c(T,T,T,T,F,F,T,F,T,F), c(7,3,3,3,8,8,3,7,7,7),</v>
      </c>
    </row>
    <row r="14" spans="1:15" x14ac:dyDescent="0.2">
      <c r="B14" s="2">
        <v>2.6388888888888889E-2</v>
      </c>
      <c r="C14" t="s">
        <v>5</v>
      </c>
      <c r="D14" t="s">
        <v>21</v>
      </c>
      <c r="E14">
        <v>34</v>
      </c>
      <c r="F14">
        <v>31</v>
      </c>
      <c r="G14">
        <f t="shared" si="20"/>
        <v>4</v>
      </c>
      <c r="H14" t="str">
        <f t="shared" si="21"/>
        <v>0.38</v>
      </c>
      <c r="I14" t="str">
        <f t="shared" si="22"/>
        <v>T</v>
      </c>
      <c r="J14">
        <f t="shared" si="23"/>
        <v>9</v>
      </c>
      <c r="K14" t="str">
        <f t="shared" si="24"/>
        <v>1,2,2,2,3,3,4,4,4,4,4</v>
      </c>
      <c r="L14" t="str">
        <f t="shared" si="25"/>
        <v>4.55,13.17,4.43,0.0,7.44,2.15,8.40,4.49,3.38,0.47,0.38</v>
      </c>
      <c r="M14" t="str">
        <f t="shared" si="26"/>
        <v>T,T,T,T,F,F,T,F,T,F,T</v>
      </c>
      <c r="N14" t="str">
        <f t="shared" si="27"/>
        <v>7,3,3,3,8,8,3,7,7,7,9</v>
      </c>
      <c r="O14" t="str">
        <f t="shared" si="3"/>
        <v>'2026.3.27092026.Away.Broncos', c(1,2,2,2,3,3,4,4,4,4,4), c(4.55,13.17,4.43,0.0,7.44,2.15,8.40,4.49,3.38,0.47,0.38), c(T,T,T,T,F,F,T,F,T,F,T), c(7,3,3,3,8,8,3,7,7,7,9),</v>
      </c>
    </row>
    <row r="15" spans="1:15" x14ac:dyDescent="0.2">
      <c r="A15">
        <v>5</v>
      </c>
      <c r="B15" s="2">
        <v>0.13402777777777777</v>
      </c>
      <c r="C15" t="s">
        <v>12</v>
      </c>
      <c r="D15" t="s">
        <v>19</v>
      </c>
      <c r="E15">
        <v>37</v>
      </c>
      <c r="F15">
        <v>38</v>
      </c>
      <c r="G15">
        <f t="shared" ref="G15" si="28">IF(A15="",G14,A15)</f>
        <v>5</v>
      </c>
      <c r="H15" t="str">
        <f t="shared" ref="H15" si="29">HOUR(B15)&amp;"."&amp;MINUTE(B15)</f>
        <v>3.13</v>
      </c>
      <c r="I15" t="str">
        <f t="shared" ref="I15" si="30">IF(C15="Rams","T","F")</f>
        <v>F</v>
      </c>
      <c r="J15">
        <f t="shared" ref="J15" si="31">SUM(E15:F15)-SUM(E14:F14)</f>
        <v>10</v>
      </c>
      <c r="K15" t="str">
        <f t="shared" ref="K15" si="32">K14&amp;","&amp;G15</f>
        <v>1,2,2,2,3,3,4,4,4,4,4,5</v>
      </c>
      <c r="L15" t="str">
        <f t="shared" ref="L15" si="33">L14&amp;","&amp;H15</f>
        <v>4.55,13.17,4.43,0.0,7.44,2.15,8.40,4.49,3.38,0.47,0.38,3.13</v>
      </c>
      <c r="M15" t="str">
        <f t="shared" ref="M15" si="34">M14&amp;","&amp;I15</f>
        <v>T,T,T,T,F,F,T,F,T,F,T,F</v>
      </c>
      <c r="N15" t="str">
        <f t="shared" ref="N15" si="35">N14&amp;","&amp;J15</f>
        <v>7,3,3,3,8,8,3,7,7,7,9,10</v>
      </c>
      <c r="O15" t="str">
        <f t="shared" ref="O15" si="36">"'"&amp;$A$1&amp;"."&amp;$B$1&amp;"."&amp;$H$1&amp;"."&amp;$F$1&amp;"."&amp;$E$1&amp;"', c("&amp;K15&amp;"), c("&amp;L15&amp;"), c("&amp;M15&amp;"), c("&amp;N15&amp;"),"</f>
        <v>'2026.3.27092026.Away.Broncos', c(1,2,2,2,3,3,4,4,4,4,4,5), c(4.55,13.17,4.43,0.0,7.44,2.15,8.40,4.49,3.38,0.47,0.38,3.13), c(T,T,T,T,F,F,T,F,T,F,T,F), c(7,3,3,3,8,8,3,7,7,7,9,10),</v>
      </c>
    </row>
    <row r="16" spans="1:15" x14ac:dyDescent="0.2">
      <c r="B16" s="2">
        <v>0.1125</v>
      </c>
      <c r="C16" t="s">
        <v>14</v>
      </c>
      <c r="D16" t="s">
        <v>18</v>
      </c>
      <c r="E16">
        <v>34</v>
      </c>
      <c r="F16">
        <v>41</v>
      </c>
      <c r="G16">
        <f t="shared" ref="G16:G17" si="37">IF(A16="",G15,A16)</f>
        <v>5</v>
      </c>
      <c r="H16" t="str">
        <f t="shared" ref="H16:H17" si="38">HOUR(B16)&amp;"."&amp;MINUTE(B16)</f>
        <v>2.42</v>
      </c>
      <c r="I16" t="str">
        <f t="shared" ref="I16:I17" si="39">IF(C16="Rams","T","F")</f>
        <v>F</v>
      </c>
      <c r="J16">
        <f t="shared" ref="J16:J17" si="40">SUM(E16:F16)-SUM(E15:F15)</f>
        <v>0</v>
      </c>
      <c r="K16" t="str">
        <f t="shared" ref="K16:K17" si="41">K15&amp;","&amp;G16</f>
        <v>1,2,2,2,3,3,4,4,4,4,4,5,5</v>
      </c>
      <c r="L16" t="str">
        <f t="shared" ref="L16:L17" si="42">L15&amp;","&amp;H16</f>
        <v>4.55,13.17,4.43,0.0,7.44,2.15,8.40,4.49,3.38,0.47,0.38,3.13,2.42</v>
      </c>
      <c r="M16" t="str">
        <f t="shared" ref="M16:M17" si="43">M15&amp;","&amp;I16</f>
        <v>T,T,T,T,F,F,T,F,T,F,T,F,F</v>
      </c>
      <c r="N16" t="str">
        <f t="shared" ref="N16:N17" si="44">N15&amp;","&amp;J16</f>
        <v>7,3,3,3,8,8,3,7,7,7,9,10,0</v>
      </c>
      <c r="O16" t="str">
        <f t="shared" ref="O16:O17" si="45">"'"&amp;$A$1&amp;"."&amp;$B$1&amp;"."&amp;$H$1&amp;"."&amp;$F$1&amp;"."&amp;$E$1&amp;"', c("&amp;K16&amp;"), c("&amp;L16&amp;"), c("&amp;M16&amp;"), c("&amp;N16&amp;"),"</f>
        <v>'2026.3.27092026.Away.Broncos', c(1,2,2,2,3,3,4,4,4,4,4,5,5), c(4.55,13.17,4.43,0.0,7.44,2.15,8.40,4.49,3.38,0.47,0.38,3.13,2.42), c(T,T,T,T,F,F,T,F,T,F,T,F,F), c(7,3,3,3,8,8,3,7,7,7,9,10,0),</v>
      </c>
    </row>
    <row r="17" spans="1:15" x14ac:dyDescent="0.2">
      <c r="A17">
        <v>5</v>
      </c>
      <c r="B17" s="2">
        <v>0.32083333333333336</v>
      </c>
      <c r="C17" t="s">
        <v>13</v>
      </c>
      <c r="D17" t="s">
        <v>16</v>
      </c>
      <c r="E17">
        <v>31</v>
      </c>
      <c r="F17">
        <v>37</v>
      </c>
      <c r="G17">
        <f t="shared" si="37"/>
        <v>5</v>
      </c>
      <c r="H17" t="str">
        <f t="shared" si="38"/>
        <v>7.42</v>
      </c>
      <c r="I17" t="str">
        <f t="shared" si="39"/>
        <v>F</v>
      </c>
      <c r="J17">
        <f t="shared" si="40"/>
        <v>-7</v>
      </c>
      <c r="K17" t="str">
        <f t="shared" si="41"/>
        <v>1,2,2,2,3,3,4,4,4,4,4,5,5,5</v>
      </c>
      <c r="L17" t="str">
        <f t="shared" si="42"/>
        <v>4.55,13.17,4.43,0.0,7.44,2.15,8.40,4.49,3.38,0.47,0.38,3.13,2.42,7.42</v>
      </c>
      <c r="M17" t="str">
        <f t="shared" si="43"/>
        <v>T,T,T,T,F,F,T,F,T,F,T,F,F,F</v>
      </c>
      <c r="N17" t="str">
        <f t="shared" si="44"/>
        <v>7,3,3,3,8,8,3,7,7,7,9,10,0,-7</v>
      </c>
      <c r="O17" t="str">
        <f t="shared" si="45"/>
        <v>'2026.3.27092026.Away.Broncos', c(1,2,2,2,3,3,4,4,4,4,4,5,5,5), c(4.55,13.17,4.43,0.0,7.44,2.15,8.40,4.49,3.38,0.47,0.38,3.13,2.42,7.42), c(T,T,T,T,F,F,T,F,T,F,T,F,F,F), c(7,3,3,3,8,8,3,7,7,7,9,10,0,-7),</v>
      </c>
    </row>
    <row r="18" spans="1:15" x14ac:dyDescent="0.2">
      <c r="B18" s="2">
        <v>0.1076388888888889</v>
      </c>
      <c r="C18" t="s">
        <v>9</v>
      </c>
      <c r="D18" t="s">
        <v>10</v>
      </c>
      <c r="E18">
        <v>48</v>
      </c>
      <c r="F18">
        <v>40</v>
      </c>
      <c r="G18">
        <f t="shared" ref="G18:G20" si="46">IF(A18="",G17,A18)</f>
        <v>5</v>
      </c>
      <c r="H18" t="str">
        <f t="shared" ref="H18:H20" si="47">HOUR(B18)&amp;"."&amp;MINUTE(B18)</f>
        <v>2.35</v>
      </c>
      <c r="I18" t="str">
        <f t="shared" ref="I18:I20" si="48">IF(C18="Rams","T","F")</f>
        <v>F</v>
      </c>
      <c r="J18">
        <f t="shared" ref="J18:J20" si="49">SUM(E18:F18)-SUM(E17:F17)</f>
        <v>20</v>
      </c>
      <c r="K18" t="str">
        <f t="shared" ref="K18:K20" si="50">K17&amp;","&amp;G18</f>
        <v>1,2,2,2,3,3,4,4,4,4,4,5,5,5,5</v>
      </c>
      <c r="L18" t="str">
        <f t="shared" ref="L18:L20" si="51">L17&amp;","&amp;H18</f>
        <v>4.55,13.17,4.43,0.0,7.44,2.15,8.40,4.49,3.38,0.47,0.38,3.13,2.42,7.42,2.35</v>
      </c>
      <c r="M18" t="str">
        <f t="shared" ref="M18:M20" si="52">M17&amp;","&amp;I18</f>
        <v>T,T,T,T,F,F,T,F,T,F,T,F,F,F,F</v>
      </c>
      <c r="N18" t="str">
        <f t="shared" ref="N18:N20" si="53">N17&amp;","&amp;J18</f>
        <v>7,3,3,3,8,8,3,7,7,7,9,10,0,-7,20</v>
      </c>
      <c r="O18" t="str">
        <f t="shared" ref="O18:O20" si="54">"'"&amp;$A$1&amp;"."&amp;$B$1&amp;"."&amp;$H$1&amp;"."&amp;$F$1&amp;"."&amp;$E$1&amp;"', c("&amp;K18&amp;"), c("&amp;L18&amp;"), c("&amp;M18&amp;"), c("&amp;N18&amp;"),"</f>
        <v>'2026.3.27092026.Away.Broncos', c(1,2,2,2,3,3,4,4,4,4,4,5,5,5,5), c(4.55,13.17,4.43,0.0,7.44,2.15,8.40,4.49,3.38,0.47,0.38,3.13,2.42,7.42,2.35), c(T,T,T,T,F,F,T,F,T,F,T,F,F,F,F), c(7,3,3,3,8,8,3,7,7,7,9,10,0,-7,20),</v>
      </c>
    </row>
    <row r="19" spans="1:15" x14ac:dyDescent="0.2">
      <c r="B19" s="2">
        <v>4.583333333333333E-2</v>
      </c>
      <c r="C19" t="s">
        <v>9</v>
      </c>
      <c r="D19" t="s">
        <v>11</v>
      </c>
      <c r="E19">
        <v>55</v>
      </c>
      <c r="F19">
        <v>40</v>
      </c>
      <c r="G19">
        <f t="shared" si="46"/>
        <v>5</v>
      </c>
      <c r="H19" t="str">
        <f t="shared" si="47"/>
        <v>1.6</v>
      </c>
      <c r="I19" t="str">
        <f t="shared" si="48"/>
        <v>F</v>
      </c>
      <c r="J19">
        <f t="shared" si="49"/>
        <v>7</v>
      </c>
      <c r="K19" t="str">
        <f t="shared" si="50"/>
        <v>1,2,2,2,3,3,4,4,4,4,4,5,5,5,5,5</v>
      </c>
      <c r="L19" t="str">
        <f t="shared" si="51"/>
        <v>4.55,13.17,4.43,0.0,7.44,2.15,8.40,4.49,3.38,0.47,0.38,3.13,2.42,7.42,2.35,1.6</v>
      </c>
      <c r="M19" t="str">
        <f t="shared" si="52"/>
        <v>T,T,T,T,F,F,T,F,T,F,T,F,F,F,F,F</v>
      </c>
      <c r="N19" t="str">
        <f t="shared" si="53"/>
        <v>7,3,3,3,8,8,3,7,7,7,9,10,0,-7,20,7</v>
      </c>
      <c r="O19" t="str">
        <f t="shared" si="54"/>
        <v>'2026.3.27092026.Away.Broncos', c(1,2,2,2,3,3,4,4,4,4,4,5,5,5,5,5), c(4.55,13.17,4.43,0.0,7.44,2.15,8.40,4.49,3.38,0.47,0.38,3.13,2.42,7.42,2.35,1.6), c(T,T,T,T,F,F,T,F,T,F,T,F,F,F,F,F), c(7,3,3,3,8,8,3,7,7,7,9,10,0,-7,20,7),</v>
      </c>
    </row>
    <row r="20" spans="1:15" x14ac:dyDescent="0.2">
      <c r="B20" s="2">
        <v>7.5694444444444439E-2</v>
      </c>
      <c r="C20" t="s">
        <v>5</v>
      </c>
      <c r="D20" t="s">
        <v>7</v>
      </c>
      <c r="E20">
        <v>51</v>
      </c>
      <c r="F20">
        <v>54</v>
      </c>
      <c r="G20">
        <f t="shared" si="46"/>
        <v>5</v>
      </c>
      <c r="H20" t="str">
        <f t="shared" si="47"/>
        <v>1.49</v>
      </c>
      <c r="I20" t="str">
        <f t="shared" si="48"/>
        <v>T</v>
      </c>
      <c r="J20">
        <f t="shared" si="49"/>
        <v>10</v>
      </c>
      <c r="K20" t="str">
        <f t="shared" si="50"/>
        <v>1,2,2,2,3,3,4,4,4,4,4,5,5,5,5,5,5</v>
      </c>
      <c r="L20" t="str">
        <f t="shared" si="51"/>
        <v>4.55,13.17,4.43,0.0,7.44,2.15,8.40,4.49,3.38,0.47,0.38,3.13,2.42,7.42,2.35,1.6,1.49</v>
      </c>
      <c r="M20" t="str">
        <f t="shared" si="52"/>
        <v>T,T,T,T,F,F,T,F,T,F,T,F,F,F,F,F,T</v>
      </c>
      <c r="N20" t="str">
        <f t="shared" si="53"/>
        <v>7,3,3,3,8,8,3,7,7,7,9,10,0,-7,20,7,10</v>
      </c>
      <c r="O20" t="str">
        <f t="shared" si="54"/>
        <v>'2026.3.27092026.Away.Broncos', c(1,2,2,2,3,3,4,4,4,4,4,5,5,5,5,5,5), c(4.55,13.17,4.43,0.0,7.44,2.15,8.40,4.49,3.38,0.47,0.38,3.13,2.42,7.42,2.35,1.6,1.49), c(T,T,T,T,F,F,T,F,T,F,T,F,F,F,F,F,T), c(7,3,3,3,8,8,3,7,7,7,9,10,0,-7,20,7,10),</v>
      </c>
    </row>
    <row r="22" spans="1:15" x14ac:dyDescent="0.2">
      <c r="O22" s="5" t="s">
        <v>22</v>
      </c>
    </row>
    <row r="23" spans="1:15" x14ac:dyDescent="0.2">
      <c r="O23" s="5" t="s">
        <v>23</v>
      </c>
    </row>
    <row r="24" spans="1:15" x14ac:dyDescent="0.2">
      <c r="O24" s="5" t="s">
        <v>32</v>
      </c>
    </row>
    <row r="25" spans="1:15" x14ac:dyDescent="0.2">
      <c r="O25" s="5"/>
    </row>
    <row r="26" spans="1:15" x14ac:dyDescent="0.2">
      <c r="O26" s="5"/>
    </row>
    <row r="27" spans="1:15" x14ac:dyDescent="0.2">
      <c r="O27" s="5"/>
    </row>
    <row r="28" spans="1:15" x14ac:dyDescent="0.2">
      <c r="O28" s="5"/>
    </row>
    <row r="29" spans="1:15" x14ac:dyDescent="0.2">
      <c r="O29" s="5"/>
    </row>
    <row r="30" spans="1:15" x14ac:dyDescent="0.2">
      <c r="O30" s="5"/>
    </row>
    <row r="31" spans="1:15" x14ac:dyDescent="0.2">
      <c r="O31" s="5"/>
    </row>
    <row r="32" spans="1:15" x14ac:dyDescent="0.2">
      <c r="O32" s="6"/>
    </row>
    <row r="33" spans="15:15" x14ac:dyDescent="0.2">
      <c r="O33" s="6"/>
    </row>
    <row r="34" spans="15:15" x14ac:dyDescent="0.2">
      <c r="O34" s="6"/>
    </row>
    <row r="35" spans="15:15" x14ac:dyDescent="0.2">
      <c r="O35" s="6"/>
    </row>
    <row r="36" spans="15:15" x14ac:dyDescent="0.2">
      <c r="O36" s="5"/>
    </row>
    <row r="37" spans="15:15" x14ac:dyDescent="0.2">
      <c r="O37" s="5"/>
    </row>
    <row r="38" spans="15:15" x14ac:dyDescent="0.2">
      <c r="O38" s="5"/>
    </row>
  </sheetData>
  <dataValidations count="1">
    <dataValidation type="list" allowBlank="1" showInputMessage="1" showErrorMessage="1" sqref="F1" xr:uid="{D805864C-A3B5-4395-9A48-009A3AECAD44}">
      <formula1>"Home,Away"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Burkhardt Thomas</dc:creator>
  <cp:lastModifiedBy>Burkhardt Thomas</cp:lastModifiedBy>
  <dcterms:created xsi:type="dcterms:W3CDTF">2026-09-24T06:40:34Z</dcterms:created>
  <dcterms:modified xsi:type="dcterms:W3CDTF">2026-10-01T07:02:48Z</dcterms:modified>
</cp:coreProperties>
</file>