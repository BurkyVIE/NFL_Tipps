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DT\nfl\"/>
    </mc:Choice>
  </mc:AlternateContent>
  <xr:revisionPtr revIDLastSave="0" documentId="13_ncr:1_{E56582CA-3AE2-43F9-AE6F-D83AC596D823}" xr6:coauthVersionLast="47" xr6:coauthVersionMax="47" xr10:uidLastSave="{00000000-0000-0000-0000-000000000000}"/>
  <bookViews>
    <workbookView xWindow="-120" yWindow="-120" windowWidth="29040" windowHeight="15720" xr2:uid="{C77011C8-79D3-4A8C-A59A-B704AE48665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" i="1" l="1"/>
  <c r="I9" i="1"/>
  <c r="J9" i="1"/>
  <c r="H10" i="1"/>
  <c r="I10" i="1"/>
  <c r="J10" i="1"/>
  <c r="H11" i="1"/>
  <c r="I11" i="1"/>
  <c r="J11" i="1"/>
  <c r="H12" i="1"/>
  <c r="I12" i="1"/>
  <c r="J12" i="1"/>
  <c r="H13" i="1"/>
  <c r="I13" i="1"/>
  <c r="J13" i="1"/>
  <c r="H14" i="1"/>
  <c r="I14" i="1"/>
  <c r="J14" i="1"/>
  <c r="G1" i="1"/>
  <c r="H1" i="1" s="1"/>
  <c r="H7" i="1"/>
  <c r="I7" i="1"/>
  <c r="J7" i="1"/>
  <c r="H8" i="1"/>
  <c r="I8" i="1"/>
  <c r="J8" i="1"/>
  <c r="H6" i="1"/>
  <c r="I6" i="1"/>
  <c r="J6" i="1"/>
  <c r="H5" i="1"/>
  <c r="I5" i="1"/>
  <c r="J5" i="1"/>
  <c r="I4" i="1"/>
  <c r="M4" i="1" s="1"/>
  <c r="J4" i="1"/>
  <c r="N4" i="1" s="1"/>
  <c r="H4" i="1"/>
  <c r="L4" i="1" s="1"/>
  <c r="G4" i="1"/>
  <c r="K4" i="1" s="1"/>
  <c r="O4" i="1" l="1"/>
  <c r="N5" i="1"/>
  <c r="N6" i="1" s="1"/>
  <c r="N7" i="1" s="1"/>
  <c r="N8" i="1" s="1"/>
  <c r="N9" i="1" s="1"/>
  <c r="N10" i="1" s="1"/>
  <c r="N11" i="1" s="1"/>
  <c r="N12" i="1" s="1"/>
  <c r="N13" i="1" s="1"/>
  <c r="N14" i="1" s="1"/>
  <c r="L5" i="1"/>
  <c r="L6" i="1" s="1"/>
  <c r="L7" i="1" s="1"/>
  <c r="L8" i="1" s="1"/>
  <c r="L9" i="1" s="1"/>
  <c r="L10" i="1" s="1"/>
  <c r="L11" i="1" s="1"/>
  <c r="L12" i="1" s="1"/>
  <c r="L13" i="1" s="1"/>
  <c r="L14" i="1" s="1"/>
  <c r="M5" i="1"/>
  <c r="M6" i="1" s="1"/>
  <c r="M7" i="1" s="1"/>
  <c r="M8" i="1" s="1"/>
  <c r="M9" i="1" s="1"/>
  <c r="M10" i="1" s="1"/>
  <c r="M11" i="1" s="1"/>
  <c r="M12" i="1" s="1"/>
  <c r="M13" i="1" s="1"/>
  <c r="M14" i="1" s="1"/>
  <c r="G5" i="1"/>
  <c r="G6" i="1" s="1"/>
  <c r="G7" i="1" s="1"/>
  <c r="G8" i="1" l="1"/>
  <c r="G9" i="1" s="1"/>
  <c r="G10" i="1" s="1"/>
  <c r="G11" i="1" s="1"/>
  <c r="G12" i="1" s="1"/>
  <c r="G13" i="1" s="1"/>
  <c r="G14" i="1" s="1"/>
  <c r="K5" i="1"/>
  <c r="O5" i="1" s="1"/>
  <c r="K6" i="1" l="1"/>
  <c r="O6" i="1" s="1"/>
  <c r="K7" i="1" l="1"/>
  <c r="O7" i="1" s="1"/>
  <c r="K8" i="1" l="1"/>
  <c r="K9" i="1" l="1"/>
  <c r="O8" i="1"/>
  <c r="K10" i="1" l="1"/>
  <c r="O9" i="1"/>
  <c r="O10" i="1" l="1"/>
  <c r="K11" i="1"/>
  <c r="O11" i="1" l="1"/>
  <c r="K12" i="1"/>
  <c r="O12" i="1" l="1"/>
  <c r="K13" i="1"/>
  <c r="O13" i="1" s="1"/>
  <c r="K14" i="1" l="1"/>
  <c r="O14" i="1" s="1"/>
</calcChain>
</file>

<file path=xl/sharedStrings.xml><?xml version="1.0" encoding="utf-8"?>
<sst xmlns="http://schemas.openxmlformats.org/spreadsheetml/2006/main" count="46" uniqueCount="37">
  <si>
    <t>Quarter</t>
  </si>
  <si>
    <t>Time</t>
  </si>
  <si>
    <t>Tm</t>
  </si>
  <si>
    <t>Detail</t>
  </si>
  <si>
    <t>STL</t>
  </si>
  <si>
    <t>Rams</t>
  </si>
  <si>
    <t>CAR</t>
  </si>
  <si>
    <t>Away</t>
  </si>
  <si>
    <t>Seahawks</t>
  </si>
  <si>
    <t>'2012.1.09092012.Away.Lions', c(1,2,2,2,2,3,4,4,4,4), c(1.57,9.26,2.35,1.28,0.20,9.29,9.45,7.19,1.55,0.10), c(T,F,T,T,F,F,T,F,T,F), c(3,7,3,7,3,3,7,7,3,7),</t>
  </si>
  <si>
    <t>Greg Zuerlein 39 yard field goal</t>
  </si>
  <si>
    <t>'2012.2.16092012.Home.Redskins', c(1,1,1,2,2,2,2,3,3,4), c(14.49,9.5,0.19,8.17,6.19,1.58,0.2,10.23,5.27,14.55), c(F,T,F,T,F,T,T,T,F,T), c(7,3,7,3,7,7,3,7,7,8),</t>
  </si>
  <si>
    <t>'2012.3.23092012.Away.Bears', c(1,2,2,3,4,4,4), c(10.41,1.56,0.22,6.14,9.45,9.6,2.18), c(F,F,T,T,F,F,F), c(3,7,3,3,3,7,3),</t>
  </si>
  <si>
    <t>'2012.4.30092012.Home.Seahawks', c(1,1,2,2,3,3,4,4), c(10.45,4.59,1.11,0.0,13.46,4.10,13.3,6.7), c(F,T,T,T,T,F,F,T), c(7,3,7,3,3,3,3,3),</t>
  </si>
  <si>
    <t>'2012.5.04102012.Home.Cardinals', c(1,1,2,4), c(12.39,3.15,10.45,11.49), c(T,F,T,T), c(7,3,3,7),</t>
  </si>
  <si>
    <t>'2012.6.14102012.Away.Dolphins', c(1,1,2,2,3,4), c(12.25,5.8,5.27,4.19,9.40,8.30), c(T,T,F,F,F,T), c(3,3,7,3,7,8),</t>
  </si>
  <si>
    <t>'2012.7.21102012.Home.Packers', c(1,1,1,2,3,4,4,4,4,4), c(7.38,5.23,2.17,0.40,8.4,11.52,8.50,3.6,1.49,0.15), c(T,F,F,T,F,F,T,F,F,T), c(3,7,3,3,7,3,7,7,3,7),</t>
  </si>
  <si>
    <t>'2012.8.28102012.Home.Patriots', c(1,1,2,2,2,3,3,4), c(12.25,7.50,14.12,6.26,0.10,12.24,6.55,11.20), c(T,F,F,F,F,F,F,F), c(7,7,7,7,7,7,3,7),</t>
  </si>
  <si>
    <t>Austin Pettis 2 yard pass from Sam Bradford (Greg Zuerlein kick)</t>
  </si>
  <si>
    <t>'2012.10.11112012.Away.49ers', c(1,1,2,3,4,4,4,4), c(9.38,1.47,8.13,0.18,8.40,8.23,1.9,0.3), c(T,T,F,T,F,F,T,F), c(7,7,7,3,7,7,7,3),</t>
  </si>
  <si>
    <t>'2012.11.18112012.Home.Jets', c(1,1,2,2,4,4,4), c(3.45,0.44,4.31,0.57,14.16,8.29,5.40), c(T,F,F,F,F,F,T), c(7,3,7,3,7,7,6),</t>
  </si>
  <si>
    <t>'2012.12.25112012.Away.Cardinals', c(1,2,2,2,2,3,3,4), c(2.41,14.52,7.52,1.53,0.0,9.58,2.28,5.27), c(F,T,F,T,F,T,T,T), c(7,7,7,7,3,7,7,3),</t>
  </si>
  <si>
    <t>'2012.13.02122012.Home.49ers', c(1,3,4,4,4,4,5), c(2.58,4.27,8.43,3.4,1.34,0.0,0.26), c(F,T,F,T,F,T,T), c(7,2,3,8,3,3,3),</t>
  </si>
  <si>
    <t>'2012.14.09122012.Away.Bills', c(1,2,3,3,4), c(2.14,0.7,8.37,3.26,0.48), c(F,F,T,F,T), c(3,3,7,6,8),</t>
  </si>
  <si>
    <t>Vikings</t>
  </si>
  <si>
    <t>Blair Walsh 53 yard field goal</t>
  </si>
  <si>
    <t>Danny Amendola 6 yard pass from Sam Bradford (Greg Zuerlein kick)</t>
  </si>
  <si>
    <t>Lance Kendricks 6 yard pass from Sam Bradford (Danny Amendola pass from Sam Bradford)</t>
  </si>
  <si>
    <t>Blair Walsh 51 yard field goal</t>
  </si>
  <si>
    <t>'2012.15.16122012.Home.Vikings', c(1,2,2,2,2,2,2,3,4,4,4), c(7.7,12.39,12.21,9.11,8.25,3.11,0.0,5.56,13.39,7.48,5.31), c(F,T,F,F,F,F,F,F,T,T,F), c(7,7,7,3,7,3,3,3,7,8,3),</t>
  </si>
  <si>
    <t>'2012.16.23122012.Away.Buccaneers', c(1,2,2,2,3,3,3), c(5.22,11.46,5.56,0.32,14.46,10.47,8.50), c(F,T,F,T,T,T,F), c(3,7,3,7,7,7,7),</t>
  </si>
  <si>
    <t>Stephen Hauschka 43 yard field goal</t>
  </si>
  <si>
    <t>Stephen Hauschka 49 yard field goal</t>
  </si>
  <si>
    <t>Michael Robinson 10 yard pass from Russell Wilson (Stephen Hauschka kick)</t>
  </si>
  <si>
    <t>Greg Zuerlein 25 yard field goal</t>
  </si>
  <si>
    <t>Russell Wilson 1 yard rush (Stephen Hauschka kick)</t>
  </si>
  <si>
    <t>'2012.17.30122012.Away.Seahawks', c(2,2,3,3,3,4,4), c(10.40,6.3,10.41,5.31,2.9,11.23,1.39), c(F,T,F,T,F,T,F), c(3,7,3,3,7,3,7),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</si>
</sst>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20" fontId="0" fillId="0" borderId="0" xfId="0" applyNumberFormat="1"/>
    <xf numFmtId="20" fontId="0" fillId="2" borderId="0" xfId="0" applyNumberFormat="1" applyFill="1"/>
    <xf numFmtId="0" fontId="0" fillId="0" borderId="0" xfId="0" quotePrefix="1"/>
    <xf numFmtId="49" fontId="0" fillId="0" borderId="0" xfId="0" quotePrefix="1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D3882-2A87-4C0E-8859-548E3BE7A89F}">
  <dimension ref="A1:O37"/>
  <sheetViews>
    <sheetView tabSelected="1" workbookViewId="0"/>
  </sheetViews>
  <sheetFormatPr baseColWidth="10" defaultRowHeight="14.25" x14ac:dyDescent="0.2"/>
  <sheetData>
    <row r="1" spans="1:15" x14ac:dyDescent="0.2">
      <c r="A1" s="1">
        <v>2012</v>
      </c>
      <c r="B1" s="1">
        <v>17</v>
      </c>
      <c r="C1" s="1">
        <v>30</v>
      </c>
      <c r="D1" s="1">
        <v>12</v>
      </c>
      <c r="E1" s="1" t="s">
        <v>8</v>
      </c>
      <c r="F1" s="1" t="s">
        <v>7</v>
      </c>
      <c r="G1" s="4">
        <f>IF(D1&gt;8,A1,A1+1)</f>
        <v>2012</v>
      </c>
      <c r="H1" t="str">
        <f>IF(C1&lt;10,"0"&amp;C1,C1)&amp;IF(D1&lt;10,"0"&amp;D1,D1)&amp;G1</f>
        <v>30122012</v>
      </c>
    </row>
    <row r="3" spans="1:15" x14ac:dyDescent="0.2">
      <c r="A3" s="1" t="s">
        <v>0</v>
      </c>
      <c r="B3" s="1" t="s">
        <v>1</v>
      </c>
      <c r="C3" s="1" t="s">
        <v>2</v>
      </c>
      <c r="D3" s="1" t="s">
        <v>3</v>
      </c>
      <c r="E3" s="1" t="s">
        <v>6</v>
      </c>
      <c r="F3" s="1" t="s">
        <v>4</v>
      </c>
    </row>
    <row r="4" spans="1:15" x14ac:dyDescent="0.2">
      <c r="A4" s="1">
        <v>2</v>
      </c>
      <c r="B4" s="3">
        <v>0.44444444444444442</v>
      </c>
      <c r="C4" s="1" t="s">
        <v>8</v>
      </c>
      <c r="D4" s="1" t="s">
        <v>31</v>
      </c>
      <c r="E4" s="1">
        <v>0</v>
      </c>
      <c r="F4" s="1">
        <v>3</v>
      </c>
      <c r="G4">
        <f>A4</f>
        <v>2</v>
      </c>
      <c r="H4" t="str">
        <f>HOUR(B4)&amp;"."&amp;MINUTE(B4)</f>
        <v>10.40</v>
      </c>
      <c r="I4" t="str">
        <f>IF(C4="Rams","T","F")</f>
        <v>F</v>
      </c>
      <c r="J4">
        <f>SUM(E4:F4)</f>
        <v>3</v>
      </c>
      <c r="K4">
        <f>G4</f>
        <v>2</v>
      </c>
      <c r="L4" t="str">
        <f>H4</f>
        <v>10.40</v>
      </c>
      <c r="M4" t="str">
        <f>I4</f>
        <v>F</v>
      </c>
      <c r="N4">
        <f t="shared" ref="N4" si="0">J4</f>
        <v>3</v>
      </c>
      <c r="O4" t="str">
        <f>"'"&amp;$A$1&amp;"."&amp;$B$1&amp;"."&amp;$H$1&amp;"."&amp;$F$1&amp;"."&amp;$E$1&amp;"', c("&amp;K4&amp;"), c("&amp;L4&amp;"), c("&amp;M4&amp;"), c("&amp;N4&amp;"),"</f>
        <v>'2012.17.30122012.Away.Seahawks', c(2), c(10.40), c(F), c(3),</v>
      </c>
    </row>
    <row r="5" spans="1:15" x14ac:dyDescent="0.2">
      <c r="A5" s="1"/>
      <c r="B5" s="3">
        <v>0.25208333333333333</v>
      </c>
      <c r="C5" s="1" t="s">
        <v>5</v>
      </c>
      <c r="D5" s="1" t="s">
        <v>18</v>
      </c>
      <c r="E5" s="1">
        <v>7</v>
      </c>
      <c r="F5" s="1">
        <v>3</v>
      </c>
      <c r="G5">
        <f>IF(A5="",G4,A5)</f>
        <v>2</v>
      </c>
      <c r="H5" t="str">
        <f t="shared" ref="H5" si="1">HOUR(B5)&amp;"."&amp;MINUTE(B5)</f>
        <v>6.3</v>
      </c>
      <c r="I5" t="str">
        <f t="shared" ref="I5" si="2">IF(C5="Rams","T","F")</f>
        <v>T</v>
      </c>
      <c r="J5">
        <f>SUM(E5:F5)-SUM(E4:F4)</f>
        <v>7</v>
      </c>
      <c r="K5" t="str">
        <f>K4&amp;","&amp;G5</f>
        <v>2,2</v>
      </c>
      <c r="L5" t="str">
        <f>L4&amp;","&amp;H5</f>
        <v>10.40,6.3</v>
      </c>
      <c r="M5" t="str">
        <f>M4&amp;","&amp;I5</f>
        <v>F,T</v>
      </c>
      <c r="N5" t="str">
        <f>N4&amp;","&amp;J5</f>
        <v>3,7</v>
      </c>
      <c r="O5" t="str">
        <f t="shared" ref="O5:O14" si="3">"'"&amp;$A$1&amp;"."&amp;$B$1&amp;"."&amp;$H$1&amp;"."&amp;$F$1&amp;"."&amp;$E$1&amp;"', c("&amp;K5&amp;"), c("&amp;L5&amp;"), c("&amp;M5&amp;"), c("&amp;N5&amp;"),"</f>
        <v>'2012.17.30122012.Away.Seahawks', c(2,2), c(10.40,6.3), c(F,T), c(3,7),</v>
      </c>
    </row>
    <row r="6" spans="1:15" x14ac:dyDescent="0.2">
      <c r="A6">
        <v>3</v>
      </c>
      <c r="B6" s="2">
        <v>0.44513888888888886</v>
      </c>
      <c r="C6" t="s">
        <v>8</v>
      </c>
      <c r="D6" t="s">
        <v>32</v>
      </c>
      <c r="E6">
        <v>7</v>
      </c>
      <c r="F6">
        <v>6</v>
      </c>
      <c r="G6">
        <f t="shared" ref="G6" si="4">IF(A6="",G5,A6)</f>
        <v>3</v>
      </c>
      <c r="H6" t="str">
        <f t="shared" ref="H6" si="5">HOUR(B6)&amp;"."&amp;MINUTE(B6)</f>
        <v>10.41</v>
      </c>
      <c r="I6" t="str">
        <f t="shared" ref="I6" si="6">IF(C6="Rams","T","F")</f>
        <v>F</v>
      </c>
      <c r="J6">
        <f t="shared" ref="J6" si="7">SUM(E6:F6)-SUM(E5:F5)</f>
        <v>3</v>
      </c>
      <c r="K6" t="str">
        <f t="shared" ref="K6" si="8">K5&amp;","&amp;G6</f>
        <v>2,2,3</v>
      </c>
      <c r="L6" t="str">
        <f t="shared" ref="L6" si="9">L5&amp;","&amp;H6</f>
        <v>10.40,6.3,10.41</v>
      </c>
      <c r="M6" t="str">
        <f t="shared" ref="M6" si="10">M5&amp;","&amp;I6</f>
        <v>F,T,F</v>
      </c>
      <c r="N6" t="str">
        <f t="shared" ref="N6" si="11">N5&amp;","&amp;J6</f>
        <v>3,7,3</v>
      </c>
      <c r="O6" t="str">
        <f t="shared" si="3"/>
        <v>'2012.17.30122012.Away.Seahawks', c(2,2,3), c(10.40,6.3,10.41), c(F,T,F), c(3,7,3),</v>
      </c>
    </row>
    <row r="7" spans="1:15" x14ac:dyDescent="0.2">
      <c r="B7" s="2">
        <v>0.2298611111111111</v>
      </c>
      <c r="C7" t="s">
        <v>5</v>
      </c>
      <c r="D7" t="s">
        <v>10</v>
      </c>
      <c r="E7">
        <v>10</v>
      </c>
      <c r="F7">
        <v>6</v>
      </c>
      <c r="G7">
        <f t="shared" ref="G7" si="12">IF(A7="",G6,A7)</f>
        <v>3</v>
      </c>
      <c r="H7" t="str">
        <f t="shared" ref="H7" si="13">HOUR(B7)&amp;"."&amp;MINUTE(B7)</f>
        <v>5.31</v>
      </c>
      <c r="I7" t="str">
        <f t="shared" ref="I7" si="14">IF(C7="Rams","T","F")</f>
        <v>T</v>
      </c>
      <c r="J7">
        <f t="shared" ref="J7" si="15">SUM(E7:F7)-SUM(E6:F6)</f>
        <v>3</v>
      </c>
      <c r="K7" t="str">
        <f t="shared" ref="K7" si="16">K6&amp;","&amp;G7</f>
        <v>2,2,3,3</v>
      </c>
      <c r="L7" t="str">
        <f t="shared" ref="L7" si="17">L6&amp;","&amp;H7</f>
        <v>10.40,6.3,10.41,5.31</v>
      </c>
      <c r="M7" t="str">
        <f t="shared" ref="M7" si="18">M6&amp;","&amp;I7</f>
        <v>F,T,F,T</v>
      </c>
      <c r="N7" t="str">
        <f t="shared" ref="N7" si="19">N6&amp;","&amp;J7</f>
        <v>3,7,3,3</v>
      </c>
      <c r="O7" t="str">
        <f t="shared" si="3"/>
        <v>'2012.17.30122012.Away.Seahawks', c(2,2,3,3), c(10.40,6.3,10.41,5.31), c(F,T,F,T), c(3,7,3,3),</v>
      </c>
    </row>
    <row r="8" spans="1:15" x14ac:dyDescent="0.2">
      <c r="B8" s="2">
        <v>8.9583333333333334E-2</v>
      </c>
      <c r="C8" t="s">
        <v>8</v>
      </c>
      <c r="D8" t="s">
        <v>33</v>
      </c>
      <c r="E8">
        <v>10</v>
      </c>
      <c r="F8">
        <v>13</v>
      </c>
      <c r="G8">
        <f>IF(A8="",G7,A8)</f>
        <v>3</v>
      </c>
      <c r="H8" t="str">
        <f>HOUR(B8)&amp;"."&amp;MINUTE(B8)</f>
        <v>2.9</v>
      </c>
      <c r="I8" t="str">
        <f>IF(C8="Rams","T","F")</f>
        <v>F</v>
      </c>
      <c r="J8">
        <f>SUM(E8:F8)-SUM(E7:F7)</f>
        <v>7</v>
      </c>
      <c r="K8" t="str">
        <f>K7&amp;","&amp;G8</f>
        <v>2,2,3,3,3</v>
      </c>
      <c r="L8" t="str">
        <f>L7&amp;","&amp;H8</f>
        <v>10.40,6.3,10.41,5.31,2.9</v>
      </c>
      <c r="M8" t="str">
        <f>M7&amp;","&amp;I8</f>
        <v>F,T,F,T,F</v>
      </c>
      <c r="N8" t="str">
        <f>N7&amp;","&amp;J8</f>
        <v>3,7,3,3,7</v>
      </c>
      <c r="O8" t="str">
        <f t="shared" si="3"/>
        <v>'2012.17.30122012.Away.Seahawks', c(2,2,3,3,3), c(10.40,6.3,10.41,5.31,2.9), c(F,T,F,T,F), c(3,7,3,3,7),</v>
      </c>
    </row>
    <row r="9" spans="1:15" x14ac:dyDescent="0.2">
      <c r="A9">
        <v>4</v>
      </c>
      <c r="B9" s="2">
        <v>0.47430555555555554</v>
      </c>
      <c r="C9" t="s">
        <v>5</v>
      </c>
      <c r="D9" t="s">
        <v>34</v>
      </c>
      <c r="E9">
        <v>13</v>
      </c>
      <c r="F9">
        <v>13</v>
      </c>
      <c r="G9">
        <f t="shared" ref="G9:G14" si="20">IF(A9="",G8,A9)</f>
        <v>4</v>
      </c>
      <c r="H9" t="str">
        <f t="shared" ref="H9:H14" si="21">HOUR(B9)&amp;"."&amp;MINUTE(B9)</f>
        <v>11.23</v>
      </c>
      <c r="I9" t="str">
        <f t="shared" ref="I9:I14" si="22">IF(C9="Rams","T","F")</f>
        <v>T</v>
      </c>
      <c r="J9">
        <f t="shared" ref="J9:J14" si="23">SUM(E9:F9)-SUM(E8:F8)</f>
        <v>3</v>
      </c>
      <c r="K9" t="str">
        <f t="shared" ref="K9:K14" si="24">K8&amp;","&amp;G9</f>
        <v>2,2,3,3,3,4</v>
      </c>
      <c r="L9" t="str">
        <f t="shared" ref="L9:L14" si="25">L8&amp;","&amp;H9</f>
        <v>10.40,6.3,10.41,5.31,2.9,11.23</v>
      </c>
      <c r="M9" t="str">
        <f t="shared" ref="M9:M14" si="26">M8&amp;","&amp;I9</f>
        <v>F,T,F,T,F,T</v>
      </c>
      <c r="N9" t="str">
        <f t="shared" ref="N9:N14" si="27">N8&amp;","&amp;J9</f>
        <v>3,7,3,3,7,3</v>
      </c>
      <c r="O9" t="str">
        <f t="shared" si="3"/>
        <v>'2012.17.30122012.Away.Seahawks', c(2,2,3,3,3,4), c(10.40,6.3,10.41,5.31,2.9,11.23), c(F,T,F,T,F,T), c(3,7,3,3,7,3),</v>
      </c>
    </row>
    <row r="10" spans="1:15" x14ac:dyDescent="0.2">
      <c r="B10" s="2">
        <v>6.8750000000000006E-2</v>
      </c>
      <c r="C10" t="s">
        <v>8</v>
      </c>
      <c r="D10" t="s">
        <v>35</v>
      </c>
      <c r="E10">
        <v>13</v>
      </c>
      <c r="F10">
        <v>20</v>
      </c>
      <c r="G10">
        <f t="shared" si="20"/>
        <v>4</v>
      </c>
      <c r="H10" t="str">
        <f t="shared" si="21"/>
        <v>1.39</v>
      </c>
      <c r="I10" t="str">
        <f t="shared" si="22"/>
        <v>F</v>
      </c>
      <c r="J10">
        <f t="shared" si="23"/>
        <v>7</v>
      </c>
      <c r="K10" t="str">
        <f t="shared" si="24"/>
        <v>2,2,3,3,3,4,4</v>
      </c>
      <c r="L10" t="str">
        <f t="shared" si="25"/>
        <v>10.40,6.3,10.41,5.31,2.9,11.23,1.39</v>
      </c>
      <c r="M10" t="str">
        <f t="shared" si="26"/>
        <v>F,T,F,T,F,T,F</v>
      </c>
      <c r="N10" t="str">
        <f t="shared" si="27"/>
        <v>3,7,3,3,7,3,7</v>
      </c>
      <c r="O10" t="str">
        <f t="shared" si="3"/>
        <v>'2012.17.30122012.Away.Seahawks', c(2,2,3,3,3,4,4), c(10.40,6.3,10.41,5.31,2.9,11.23,1.39), c(F,T,F,T,F,T,F), c(3,7,3,3,7,3,7),</v>
      </c>
    </row>
    <row r="11" spans="1:15" x14ac:dyDescent="0.2">
      <c r="A11">
        <v>3</v>
      </c>
      <c r="B11" s="2">
        <v>0.24722222222222223</v>
      </c>
      <c r="C11" t="s">
        <v>24</v>
      </c>
      <c r="D11" t="s">
        <v>25</v>
      </c>
      <c r="E11">
        <v>33</v>
      </c>
      <c r="F11">
        <v>7</v>
      </c>
      <c r="G11">
        <f t="shared" si="20"/>
        <v>3</v>
      </c>
      <c r="H11" t="str">
        <f t="shared" si="21"/>
        <v>5.56</v>
      </c>
      <c r="I11" t="str">
        <f t="shared" si="22"/>
        <v>F</v>
      </c>
      <c r="J11">
        <f t="shared" si="23"/>
        <v>7</v>
      </c>
      <c r="K11" t="str">
        <f t="shared" si="24"/>
        <v>2,2,3,3,3,4,4,3</v>
      </c>
      <c r="L11" t="str">
        <f t="shared" si="25"/>
        <v>10.40,6.3,10.41,5.31,2.9,11.23,1.39,5.56</v>
      </c>
      <c r="M11" t="str">
        <f t="shared" si="26"/>
        <v>F,T,F,T,F,T,F,F</v>
      </c>
      <c r="N11" t="str">
        <f t="shared" si="27"/>
        <v>3,7,3,3,7,3,7,7</v>
      </c>
      <c r="O11" t="str">
        <f t="shared" si="3"/>
        <v>'2012.17.30122012.Away.Seahawks', c(2,2,3,3,3,4,4,3), c(10.40,6.3,10.41,5.31,2.9,11.23,1.39,5.56), c(F,T,F,T,F,T,F,F), c(3,7,3,3,7,3,7,7),</v>
      </c>
    </row>
    <row r="12" spans="1:15" x14ac:dyDescent="0.2">
      <c r="A12">
        <v>4</v>
      </c>
      <c r="B12" s="2">
        <v>0.56874999999999998</v>
      </c>
      <c r="C12" t="s">
        <v>5</v>
      </c>
      <c r="D12" t="s">
        <v>26</v>
      </c>
      <c r="E12">
        <v>33</v>
      </c>
      <c r="F12">
        <v>14</v>
      </c>
      <c r="G12">
        <f t="shared" si="20"/>
        <v>4</v>
      </c>
      <c r="H12" t="str">
        <f t="shared" si="21"/>
        <v>13.39</v>
      </c>
      <c r="I12" t="str">
        <f t="shared" si="22"/>
        <v>T</v>
      </c>
      <c r="J12">
        <f t="shared" si="23"/>
        <v>7</v>
      </c>
      <c r="K12" t="str">
        <f t="shared" si="24"/>
        <v>2,2,3,3,3,4,4,3,4</v>
      </c>
      <c r="L12" t="str">
        <f t="shared" si="25"/>
        <v>10.40,6.3,10.41,5.31,2.9,11.23,1.39,5.56,13.39</v>
      </c>
      <c r="M12" t="str">
        <f t="shared" si="26"/>
        <v>F,T,F,T,F,T,F,F,T</v>
      </c>
      <c r="N12" t="str">
        <f t="shared" si="27"/>
        <v>3,7,3,3,7,3,7,7,7</v>
      </c>
      <c r="O12" t="str">
        <f t="shared" si="3"/>
        <v>'2012.17.30122012.Away.Seahawks', c(2,2,3,3,3,4,4,3,4), c(10.40,6.3,10.41,5.31,2.9,11.23,1.39,5.56,13.39), c(F,T,F,T,F,T,F,F,T), c(3,7,3,3,7,3,7,7,7),</v>
      </c>
    </row>
    <row r="13" spans="1:15" x14ac:dyDescent="0.2">
      <c r="B13" s="2">
        <v>0.32500000000000001</v>
      </c>
      <c r="C13" t="s">
        <v>5</v>
      </c>
      <c r="D13" t="s">
        <v>27</v>
      </c>
      <c r="E13">
        <v>33</v>
      </c>
      <c r="F13">
        <v>22</v>
      </c>
      <c r="G13">
        <f t="shared" si="20"/>
        <v>4</v>
      </c>
      <c r="H13" t="str">
        <f t="shared" si="21"/>
        <v>7.48</v>
      </c>
      <c r="I13" t="str">
        <f t="shared" si="22"/>
        <v>T</v>
      </c>
      <c r="J13">
        <f t="shared" si="23"/>
        <v>8</v>
      </c>
      <c r="K13" t="str">
        <f t="shared" si="24"/>
        <v>2,2,3,3,3,4,4,3,4,4</v>
      </c>
      <c r="L13" t="str">
        <f t="shared" si="25"/>
        <v>10.40,6.3,10.41,5.31,2.9,11.23,1.39,5.56,13.39,7.48</v>
      </c>
      <c r="M13" t="str">
        <f t="shared" si="26"/>
        <v>F,T,F,T,F,T,F,F,T,T</v>
      </c>
      <c r="N13" t="str">
        <f t="shared" si="27"/>
        <v>3,7,3,3,7,3,7,7,7,8</v>
      </c>
      <c r="O13" t="str">
        <f t="shared" si="3"/>
        <v>'2012.17.30122012.Away.Seahawks', c(2,2,3,3,3,4,4,3,4,4), c(10.40,6.3,10.41,5.31,2.9,11.23,1.39,5.56,13.39,7.48), c(F,T,F,T,F,T,F,F,T,T), c(3,7,3,3,7,3,7,7,7,8),</v>
      </c>
    </row>
    <row r="14" spans="1:15" x14ac:dyDescent="0.2">
      <c r="B14" s="2">
        <v>0.2298611111111111</v>
      </c>
      <c r="C14" t="s">
        <v>24</v>
      </c>
      <c r="D14" t="s">
        <v>28</v>
      </c>
      <c r="E14">
        <v>36</v>
      </c>
      <c r="F14">
        <v>22</v>
      </c>
      <c r="G14">
        <f t="shared" si="20"/>
        <v>4</v>
      </c>
      <c r="H14" t="str">
        <f t="shared" si="21"/>
        <v>5.31</v>
      </c>
      <c r="I14" t="str">
        <f t="shared" si="22"/>
        <v>F</v>
      </c>
      <c r="J14">
        <f t="shared" si="23"/>
        <v>3</v>
      </c>
      <c r="K14" t="str">
        <f t="shared" si="24"/>
        <v>2,2,3,3,3,4,4,3,4,4,4</v>
      </c>
      <c r="L14" t="str">
        <f t="shared" si="25"/>
        <v>10.40,6.3,10.41,5.31,2.9,11.23,1.39,5.56,13.39,7.48,5.31</v>
      </c>
      <c r="M14" t="str">
        <f t="shared" si="26"/>
        <v>F,T,F,T,F,T,F,F,T,T,F</v>
      </c>
      <c r="N14" t="str">
        <f t="shared" si="27"/>
        <v>3,7,3,3,7,3,7,7,7,8,3</v>
      </c>
      <c r="O14" t="str">
        <f t="shared" si="3"/>
        <v>'2012.17.30122012.Away.Seahawks', c(2,2,3,3,3,4,4,3,4,4,4), c(10.40,6.3,10.41,5.31,2.9,11.23,1.39,5.56,13.39,7.48,5.31), c(F,T,F,T,F,T,F,F,T,T,F), c(3,7,3,3,7,3,7,7,7,8,3),</v>
      </c>
    </row>
    <row r="15" spans="1:15" x14ac:dyDescent="0.2">
      <c r="B15" s="2"/>
    </row>
    <row r="16" spans="1:15" x14ac:dyDescent="0.2">
      <c r="B16" s="2"/>
    </row>
    <row r="17" spans="2:15" x14ac:dyDescent="0.2">
      <c r="B17" s="2"/>
    </row>
    <row r="18" spans="2:15" x14ac:dyDescent="0.2">
      <c r="B18" s="2"/>
    </row>
    <row r="22" spans="2:15" x14ac:dyDescent="0.2">
      <c r="O22" s="4" t="s">
        <v>9</v>
      </c>
    </row>
    <row r="23" spans="2:15" x14ac:dyDescent="0.2">
      <c r="O23" s="4" t="s">
        <v>11</v>
      </c>
    </row>
    <row r="24" spans="2:15" x14ac:dyDescent="0.2">
      <c r="O24" s="4" t="s">
        <v>12</v>
      </c>
    </row>
    <row r="25" spans="2:15" x14ac:dyDescent="0.2">
      <c r="O25" s="4" t="s">
        <v>13</v>
      </c>
    </row>
    <row r="26" spans="2:15" x14ac:dyDescent="0.2">
      <c r="O26" s="4" t="s">
        <v>14</v>
      </c>
    </row>
    <row r="27" spans="2:15" x14ac:dyDescent="0.2">
      <c r="O27" s="4" t="s">
        <v>15</v>
      </c>
    </row>
    <row r="28" spans="2:15" x14ac:dyDescent="0.2">
      <c r="O28" s="4" t="s">
        <v>16</v>
      </c>
    </row>
    <row r="29" spans="2:15" x14ac:dyDescent="0.2">
      <c r="O29" s="4" t="s">
        <v>17</v>
      </c>
    </row>
    <row r="30" spans="2:15" x14ac:dyDescent="0.2">
      <c r="O30" s="4" t="s">
        <v>19</v>
      </c>
    </row>
    <row r="31" spans="2:15" x14ac:dyDescent="0.2">
      <c r="O31" s="4" t="s">
        <v>20</v>
      </c>
    </row>
    <row r="32" spans="2:15" x14ac:dyDescent="0.2">
      <c r="O32" s="5" t="s">
        <v>21</v>
      </c>
    </row>
    <row r="33" spans="15:15" x14ac:dyDescent="0.2">
      <c r="O33" s="5" t="s">
        <v>22</v>
      </c>
    </row>
    <row r="34" spans="15:15" x14ac:dyDescent="0.2">
      <c r="O34" s="5" t="s">
        <v>23</v>
      </c>
    </row>
    <row r="35" spans="15:15" x14ac:dyDescent="0.2">
      <c r="O35" s="5" t="s">
        <v>29</v>
      </c>
    </row>
    <row r="36" spans="15:15" x14ac:dyDescent="0.2">
      <c r="O36" s="4" t="s">
        <v>30</v>
      </c>
    </row>
    <row r="37" spans="15:15" x14ac:dyDescent="0.2">
      <c r="O37" s="4" t="s">
        <v>36</v>
      </c>
    </row>
  </sheetData>
  <dataValidations count="1">
    <dataValidation type="list" allowBlank="1" showInputMessage="1" showErrorMessage="1" sqref="F1" xr:uid="{D805864C-A3B5-4395-9A48-009A3AECAD44}">
      <formula1>"Home,Away"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Burkhardt Thomas</dc:creator>
  <cp:lastModifiedBy>Burkhardt Thomas</cp:lastModifiedBy>
  <dcterms:created xsi:type="dcterms:W3CDTF">2026-09-24T06:40:34Z</dcterms:created>
  <dcterms:modified xsi:type="dcterms:W3CDTF">2026-09-29T08:25:06Z</dcterms:modified>
</cp:coreProperties>
</file>